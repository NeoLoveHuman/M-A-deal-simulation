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vasistha/Desktop/"/>
    </mc:Choice>
  </mc:AlternateContent>
  <xr:revisionPtr revIDLastSave="0" documentId="13_ncr:1_{32520FDE-CEB5-CB4B-AFF3-8FEEEB66E9DA}" xr6:coauthVersionLast="47" xr6:coauthVersionMax="47" xr10:uidLastSave="{00000000-0000-0000-0000-000000000000}"/>
  <bookViews>
    <workbookView xWindow="1480" yWindow="1680" windowWidth="26460" windowHeight="16520" activeTab="1" xr2:uid="{BE8CCBDE-D127-4443-8B14-92EAC9B491B8}"/>
  </bookViews>
  <sheets>
    <sheet name="dcf" sheetId="1" r:id="rId1"/>
    <sheet name="WACC" sheetId="2" r:id="rId2"/>
    <sheet name="Sensitivity 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2" l="1"/>
  <c r="C9" i="2"/>
  <c r="C8" i="2"/>
  <c r="D27" i="1"/>
  <c r="C27" i="1"/>
  <c r="D24" i="1"/>
  <c r="C24" i="1"/>
  <c r="D21" i="1"/>
  <c r="E21" i="1" s="1"/>
  <c r="C21" i="1"/>
  <c r="D13" i="1"/>
  <c r="D11" i="1"/>
  <c r="E5" i="1"/>
  <c r="F5" i="1" s="1"/>
  <c r="S6" i="1"/>
  <c r="D6" i="1" s="1"/>
  <c r="C25" i="2" l="1"/>
  <c r="G5" i="1"/>
  <c r="H5" i="1" s="1"/>
  <c r="I5" i="1" s="1"/>
  <c r="F21" i="1"/>
  <c r="D14" i="1"/>
  <c r="D18" i="1" s="1"/>
  <c r="D30" i="1" s="1"/>
  <c r="E6" i="1"/>
  <c r="G21" i="1" l="1"/>
  <c r="F6" i="1"/>
  <c r="E7" i="1"/>
  <c r="E23" i="1" l="1"/>
  <c r="E27" i="1"/>
  <c r="E20" i="1"/>
  <c r="H21" i="1"/>
  <c r="E8" i="1"/>
  <c r="E13" i="1"/>
  <c r="E11" i="1"/>
  <c r="G6" i="1"/>
  <c r="F7" i="1"/>
  <c r="I21" i="1" l="1"/>
  <c r="F27" i="1"/>
  <c r="F23" i="1"/>
  <c r="F20" i="1"/>
  <c r="E14" i="1"/>
  <c r="E18" i="1" s="1"/>
  <c r="E30" i="1" s="1"/>
  <c r="E31" i="1" s="1"/>
  <c r="F8" i="1"/>
  <c r="F13" i="1"/>
  <c r="F11" i="1"/>
  <c r="H6" i="1"/>
  <c r="G7" i="1"/>
  <c r="G27" i="1" l="1"/>
  <c r="G23" i="1"/>
  <c r="G20" i="1"/>
  <c r="I20" i="1"/>
  <c r="F14" i="1"/>
  <c r="F18" i="1" s="1"/>
  <c r="F30" i="1" s="1"/>
  <c r="F31" i="1" s="1"/>
  <c r="G8" i="1"/>
  <c r="G11" i="1"/>
  <c r="G13" i="1"/>
  <c r="I6" i="1"/>
  <c r="I7" i="1" s="1"/>
  <c r="H7" i="1"/>
  <c r="H27" i="1" l="1"/>
  <c r="H23" i="1"/>
  <c r="H20" i="1"/>
  <c r="I27" i="1"/>
  <c r="I23" i="1"/>
  <c r="G14" i="1"/>
  <c r="G18" i="1" s="1"/>
  <c r="G30" i="1" s="1"/>
  <c r="G31" i="1" s="1"/>
  <c r="I13" i="1"/>
  <c r="I11" i="1"/>
  <c r="H8" i="1"/>
  <c r="H11" i="1"/>
  <c r="H13" i="1"/>
  <c r="H14" i="1" s="1"/>
  <c r="H18" i="1" s="1"/>
  <c r="H30" i="1" s="1"/>
  <c r="H31" i="1" s="1"/>
  <c r="I8" i="1"/>
  <c r="I14" i="1" l="1"/>
  <c r="I18" i="1" s="1"/>
  <c r="I30" i="1" s="1"/>
  <c r="I33" i="1" s="1"/>
  <c r="I34" i="1"/>
  <c r="I31" i="1"/>
  <c r="I37" i="1" s="1"/>
  <c r="I41" i="1" s="1"/>
  <c r="I43" i="1" s="1"/>
</calcChain>
</file>

<file path=xl/sharedStrings.xml><?xml version="1.0" encoding="utf-8"?>
<sst xmlns="http://schemas.openxmlformats.org/spreadsheetml/2006/main" count="110" uniqueCount="85">
  <si>
    <t>Income Statement</t>
  </si>
  <si>
    <t>FY2025</t>
  </si>
  <si>
    <t>FY2026</t>
  </si>
  <si>
    <t>FY2027</t>
  </si>
  <si>
    <t>FY2028</t>
  </si>
  <si>
    <t>FY2029</t>
  </si>
  <si>
    <t>FY2030</t>
  </si>
  <si>
    <t>No of units sold</t>
  </si>
  <si>
    <t>Avg_cost_per_unit</t>
  </si>
  <si>
    <t>AVG_COST CALCULATIONS</t>
  </si>
  <si>
    <t>Revenue</t>
  </si>
  <si>
    <t>FY2024</t>
  </si>
  <si>
    <t xml:space="preserve">No_of_units sold </t>
  </si>
  <si>
    <t xml:space="preserve">AVG_COST </t>
  </si>
  <si>
    <t>%of revenue from indirect sources</t>
  </si>
  <si>
    <t>is 10%</t>
  </si>
  <si>
    <t>TOTAL REVENUE</t>
  </si>
  <si>
    <t>%growth</t>
  </si>
  <si>
    <t>Gross Margin</t>
  </si>
  <si>
    <t>Gross Profit (REVENUE * GM)</t>
  </si>
  <si>
    <t xml:space="preserve">OPERATING EXPENSES </t>
  </si>
  <si>
    <t>%operating expences = 150CR*12</t>
  </si>
  <si>
    <t>OPERATING EXPENSES as % of revenue</t>
  </si>
  <si>
    <t>goal is to make it 27%</t>
  </si>
  <si>
    <t>EBIT(operating profit)</t>
  </si>
  <si>
    <t>burn rate in fy2027 is 130cr</t>
  </si>
  <si>
    <t>TAX %</t>
  </si>
  <si>
    <t>Tax carryforwards = 5145(from FY2021-2025)</t>
  </si>
  <si>
    <t xml:space="preserve">EBITA </t>
  </si>
  <si>
    <t>D&amp;A</t>
  </si>
  <si>
    <t>%of sales</t>
  </si>
  <si>
    <t>Assuming a continued strategy without major innvestments</t>
  </si>
  <si>
    <t>CapEX</t>
  </si>
  <si>
    <t>mature companies have only 6%</t>
  </si>
  <si>
    <t>Change in NWC</t>
  </si>
  <si>
    <t>AVG OUT PREVIOUS YEARS WE GET  -400CR (avg out 2023 and 2024FY) 2025fy is a anamoly</t>
  </si>
  <si>
    <t>Unlevered FCF</t>
  </si>
  <si>
    <t>WACC</t>
  </si>
  <si>
    <t>WACC =(%Equity x cost of Equity)+ (%Debt x Cost of Debt x(1-Tax Rate)</t>
  </si>
  <si>
    <t>%Equity = E/(E+D)</t>
  </si>
  <si>
    <t>Cost of Equity = Risk Free Rate + (Beta x (Expected Market Return - Risk Free Rate))</t>
  </si>
  <si>
    <t>Equity</t>
  </si>
  <si>
    <t>Debt</t>
  </si>
  <si>
    <t>%Equity</t>
  </si>
  <si>
    <t>%Debt</t>
  </si>
  <si>
    <t>Cost of Debt</t>
  </si>
  <si>
    <t>Risk Free Rate</t>
  </si>
  <si>
    <t>Beta of last 5yrs is taken</t>
  </si>
  <si>
    <t>Market Return</t>
  </si>
  <si>
    <t>Beta</t>
  </si>
  <si>
    <t>Risk Free Rate taken from 10YR indian gov bond yeild</t>
  </si>
  <si>
    <t>Tax Rate</t>
  </si>
  <si>
    <t xml:space="preserve">Market Risk Premium </t>
  </si>
  <si>
    <t>Cost of Equity</t>
  </si>
  <si>
    <t>Equity + Debt</t>
  </si>
  <si>
    <t>Cost of Equity =  Risk-free-rate + Beta*(Market risk  premium )</t>
  </si>
  <si>
    <t>Market risk premium = Market return - Risk Free Rate = 8.75-6.5</t>
  </si>
  <si>
    <t>Market return based on NIFTY50 2024</t>
  </si>
  <si>
    <t>Cost of debt = Finance Cost / Total borrowings = 393/3556</t>
  </si>
  <si>
    <t>Present value</t>
  </si>
  <si>
    <t xml:space="preserve">Enterprise value = </t>
  </si>
  <si>
    <t xml:space="preserve">cash = </t>
  </si>
  <si>
    <t xml:space="preserve">Debt = </t>
  </si>
  <si>
    <t>Equity Value</t>
  </si>
  <si>
    <t>Share price=</t>
  </si>
  <si>
    <t>Terminal Value</t>
  </si>
  <si>
    <t>Present value of T.V</t>
  </si>
  <si>
    <t>T.G.R = 5%</t>
  </si>
  <si>
    <t>WACC calculations are in next sheet</t>
  </si>
  <si>
    <t>(don’t delete this cell)</t>
  </si>
  <si>
    <t>Given Ola Electric’s heavy upfront investments in manufacturing and infrastructure, we expect CapEx to remain elevated in the near term but decline as these assets are operationalized. Accordingly, our model assumes CapEx tapering from 23% in FY25 to 6% by FY30, in line with peers in the EV and automotive manufacturing industry.”</t>
  </si>
  <si>
    <t>(%)</t>
  </si>
  <si>
    <t>(Cr)</t>
  </si>
  <si>
    <t>Cr</t>
  </si>
  <si>
    <t>INR</t>
  </si>
  <si>
    <t>(+)</t>
  </si>
  <si>
    <t>(-)</t>
  </si>
  <si>
    <t>TGR ↓ / WACC →</t>
  </si>
  <si>
    <t>SHARE PRICE ANALYSIS WRT TO TGR &amp; WACC</t>
  </si>
  <si>
    <t>ASSUMPTIONS AND CALCULATIONS</t>
  </si>
  <si>
    <t>TV includes 17% tax based on DRHP</t>
  </si>
  <si>
    <t>WACC = 10.24%</t>
  </si>
  <si>
    <t>FORMULAE USED</t>
  </si>
  <si>
    <t>hence we get 0 rupees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</si>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</sst>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family val="2"/>
      <scheme val="minor"/>
    </font>
    <font>
      <sz val="8"/>
      <name val="Aptos Narrow"/>
      <family val="2"/>
      <scheme val="minor"/>
    </font>
    <font>
      <b/>
      <sz val="12"/>
      <color theme="1"/>
      <name val="Aptos Narrow"/>
      <scheme val="minor"/>
    </font>
    <font>
      <sz val="12"/>
      <color rgb="FF0E0E0E"/>
      <name val=".AppleSystemUIFont"/>
    </font>
    <font>
      <sz val="15"/>
      <color theme="1"/>
      <name val="Aptos Narrow"/>
      <family val="2"/>
      <scheme val="minor"/>
    </font>
    <font>
      <b/>
      <sz val="15"/>
      <color theme="1"/>
      <name val="Aptos Narrow"/>
      <scheme val="minor"/>
    </font>
    <font>
      <b/>
      <sz val="12"/>
      <color theme="0"/>
      <name val="Aptos Narrow"/>
      <scheme val="minor"/>
    </font>
    <font>
      <sz val="12"/>
      <color theme="0"/>
      <name val="Aptos Narrow"/>
      <scheme val="minor"/>
    </font>
    <font>
      <b/>
      <sz val="15"/>
      <color theme="0"/>
      <name val="Aptos Narrow"/>
      <scheme val="minor"/>
    </font>
    <font>
      <b/>
      <i/>
      <u/>
      <sz val="15"/>
      <color theme="1"/>
      <name val="Aptos Narrow"/>
      <scheme val="minor"/>
    </font>
    <font>
      <b/>
      <sz val="20"/>
      <color theme="1"/>
      <name val="Aptos Narrow"/>
      <scheme val="minor"/>
    </font>
    <font>
      <sz val="30"/>
      <color theme="1"/>
      <name val="Aptos Narrow"/>
      <family val="2"/>
      <scheme val="minor"/>
    </font>
    <font>
      <b/>
      <sz val="30"/>
      <color rgb="FF000000"/>
      <name val="Calibri"/>
      <family val="2"/>
    </font>
    <font>
      <sz val="30"/>
      <color rgb="FF000000"/>
      <name val="Calibri"/>
      <family val="2"/>
    </font>
    <font>
      <b/>
      <sz val="25"/>
      <color theme="0"/>
      <name val="Aptos Narrow"/>
      <scheme val="minor"/>
    </font>
  </fonts>
  <fills count="1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rgb="FFFF0000"/>
        <bgColor indexed="64"/>
      </patternFill>
    </fill>
    <fill>
      <patternFill patternType="solid">
        <fgColor rgb="FFFF3847"/>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14999847407452621"/>
        <bgColor indexed="64"/>
      </patternFill>
    </fill>
    <fill>
      <patternFill patternType="solid">
        <fgColor rgb="FF3E4C62"/>
        <bgColor indexed="64"/>
      </patternFill>
    </fill>
    <fill>
      <patternFill patternType="solid">
        <fgColor theme="3" tint="0.249977111117893"/>
        <bgColor indexed="64"/>
      </patternFill>
    </fill>
    <fill>
      <patternFill patternType="solid">
        <fgColor rgb="FF256AB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74">
    <xf numFmtId="0" fontId="0" fillId="0" borderId="0" xfId="0"/>
    <xf numFmtId="0" fontId="0" fillId="2" borderId="0" xfId="0" applyFill="1"/>
    <xf numFmtId="0" fontId="0" fillId="2" borderId="1" xfId="0" applyFill="1" applyBorder="1"/>
    <xf numFmtId="0" fontId="2" fillId="2" borderId="0" xfId="0" applyFont="1" applyFill="1"/>
    <xf numFmtId="10" fontId="0" fillId="2" borderId="0" xfId="0" applyNumberFormat="1" applyFill="1"/>
    <xf numFmtId="3" fontId="0" fillId="2" borderId="0" xfId="0" applyNumberFormat="1" applyFill="1"/>
    <xf numFmtId="9" fontId="0" fillId="2" borderId="0" xfId="0" applyNumberFormat="1" applyFill="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3" borderId="0" xfId="0" applyFill="1"/>
    <xf numFmtId="0" fontId="4" fillId="2" borderId="0" xfId="0" applyFont="1" applyFill="1"/>
    <xf numFmtId="10" fontId="4" fillId="2" borderId="0" xfId="0" applyNumberFormat="1" applyFont="1" applyFill="1"/>
    <xf numFmtId="0" fontId="4" fillId="2" borderId="1" xfId="0" applyFont="1" applyFill="1" applyBorder="1"/>
    <xf numFmtId="0" fontId="4" fillId="2" borderId="4" xfId="0" applyFont="1" applyFill="1" applyBorder="1" applyAlignment="1">
      <alignment horizontal="left" vertical="top"/>
    </xf>
    <xf numFmtId="0" fontId="4" fillId="2" borderId="9" xfId="0" applyFont="1" applyFill="1" applyBorder="1" applyAlignment="1">
      <alignment horizontal="left" vertical="top"/>
    </xf>
    <xf numFmtId="10" fontId="4" fillId="2" borderId="9" xfId="0" applyNumberFormat="1" applyFont="1" applyFill="1" applyBorder="1" applyAlignment="1">
      <alignment horizontal="left" vertical="top"/>
    </xf>
    <xf numFmtId="10" fontId="4" fillId="2" borderId="7" xfId="0" applyNumberFormat="1" applyFont="1" applyFill="1" applyBorder="1" applyAlignment="1">
      <alignment horizontal="left" vertical="top"/>
    </xf>
    <xf numFmtId="0" fontId="4" fillId="2" borderId="13" xfId="0" applyFont="1" applyFill="1" applyBorder="1"/>
    <xf numFmtId="0" fontId="4" fillId="2" borderId="15" xfId="0" applyFont="1" applyFill="1" applyBorder="1"/>
    <xf numFmtId="2" fontId="4" fillId="2" borderId="15" xfId="0" applyNumberFormat="1" applyFont="1" applyFill="1" applyBorder="1"/>
    <xf numFmtId="0" fontId="4" fillId="2" borderId="7" xfId="0" applyFont="1" applyFill="1" applyBorder="1"/>
    <xf numFmtId="0" fontId="4" fillId="2" borderId="1" xfId="0" applyFont="1" applyFill="1" applyBorder="1" applyAlignment="1">
      <alignment horizontal="right"/>
    </xf>
    <xf numFmtId="0" fontId="4" fillId="9" borderId="1" xfId="0" applyFont="1" applyFill="1" applyBorder="1" applyAlignment="1">
      <alignment horizontal="right"/>
    </xf>
    <xf numFmtId="0" fontId="4" fillId="7" borderId="1" xfId="0" applyFont="1" applyFill="1" applyBorder="1" applyAlignment="1">
      <alignment horizontal="right"/>
    </xf>
    <xf numFmtId="0" fontId="0" fillId="10" borderId="0" xfId="0" applyFill="1"/>
    <xf numFmtId="3" fontId="0" fillId="10" borderId="0" xfId="0" applyNumberFormat="1" applyFill="1"/>
    <xf numFmtId="0" fontId="3" fillId="10" borderId="0" xfId="0" applyFont="1" applyFill="1"/>
    <xf numFmtId="10" fontId="0" fillId="10" borderId="0" xfId="0" applyNumberFormat="1" applyFill="1"/>
    <xf numFmtId="0" fontId="5" fillId="2" borderId="0" xfId="0" applyFont="1" applyFill="1"/>
    <xf numFmtId="0" fontId="5" fillId="10" borderId="0" xfId="0" applyFont="1" applyFill="1"/>
    <xf numFmtId="10" fontId="5" fillId="10" borderId="0" xfId="0" applyNumberFormat="1" applyFont="1" applyFill="1"/>
    <xf numFmtId="0" fontId="5" fillId="5" borderId="1" xfId="0" applyFont="1" applyFill="1" applyBorder="1" applyAlignment="1">
      <alignment horizontal="right"/>
    </xf>
    <xf numFmtId="0" fontId="5" fillId="5" borderId="1" xfId="0" applyFont="1" applyFill="1" applyBorder="1"/>
    <xf numFmtId="0" fontId="0" fillId="0" borderId="1" xfId="0" applyBorder="1"/>
    <xf numFmtId="0" fontId="0" fillId="0" borderId="1" xfId="0" applyBorder="1" applyAlignment="1">
      <alignment horizontal="right"/>
    </xf>
    <xf numFmtId="0" fontId="6" fillId="11" borderId="0" xfId="0" applyFont="1" applyFill="1" applyAlignment="1">
      <alignment vertical="center"/>
    </xf>
    <xf numFmtId="0" fontId="7" fillId="11" borderId="0" xfId="0" applyFont="1" applyFill="1" applyAlignment="1">
      <alignment vertical="center"/>
    </xf>
    <xf numFmtId="0" fontId="8" fillId="12" borderId="2" xfId="0" applyFont="1" applyFill="1" applyBorder="1"/>
    <xf numFmtId="0" fontId="8" fillId="12" borderId="8" xfId="0" applyFont="1" applyFill="1" applyBorder="1"/>
    <xf numFmtId="0" fontId="8" fillId="12" borderId="5" xfId="0" applyFont="1" applyFill="1" applyBorder="1"/>
    <xf numFmtId="0" fontId="8" fillId="12" borderId="0" xfId="0" applyFont="1" applyFill="1" applyAlignment="1">
      <alignment horizontal="center"/>
    </xf>
    <xf numFmtId="0" fontId="8" fillId="12" borderId="12" xfId="0" applyFont="1" applyFill="1" applyBorder="1" applyAlignment="1">
      <alignment horizontal="left" vertical="top"/>
    </xf>
    <xf numFmtId="0" fontId="8" fillId="12" borderId="14" xfId="0" applyFont="1" applyFill="1" applyBorder="1" applyAlignment="1">
      <alignment horizontal="left" vertical="top"/>
    </xf>
    <xf numFmtId="0" fontId="8" fillId="12" borderId="16" xfId="0" applyFont="1" applyFill="1" applyBorder="1" applyAlignment="1">
      <alignment horizontal="left" vertical="top"/>
    </xf>
    <xf numFmtId="0" fontId="9" fillId="2" borderId="0" xfId="0" applyFont="1" applyFill="1"/>
    <xf numFmtId="0" fontId="2" fillId="10" borderId="1" xfId="0" applyFont="1" applyFill="1" applyBorder="1"/>
    <xf numFmtId="0" fontId="0" fillId="10" borderId="1" xfId="0" applyFill="1" applyBorder="1"/>
    <xf numFmtId="0" fontId="0" fillId="10" borderId="2" xfId="0" applyFill="1" applyBorder="1"/>
    <xf numFmtId="0" fontId="0" fillId="10" borderId="3" xfId="0" applyFill="1" applyBorder="1"/>
    <xf numFmtId="0" fontId="0" fillId="10" borderId="4" xfId="0" applyFill="1" applyBorder="1"/>
    <xf numFmtId="0" fontId="2" fillId="10" borderId="5" xfId="0" applyFont="1" applyFill="1" applyBorder="1"/>
    <xf numFmtId="0" fontId="0" fillId="10" borderId="6" xfId="0" applyFill="1" applyBorder="1"/>
    <xf numFmtId="0" fontId="0" fillId="10" borderId="7" xfId="0" applyFill="1" applyBorder="1"/>
    <xf numFmtId="0" fontId="0" fillId="2" borderId="0" xfId="0" applyFill="1" applyBorder="1"/>
    <xf numFmtId="0" fontId="10" fillId="2" borderId="1" xfId="0" applyFont="1" applyFill="1" applyBorder="1" applyAlignment="1">
      <alignment horizontal="right"/>
    </xf>
    <xf numFmtId="0" fontId="10" fillId="2" borderId="1" xfId="0" applyFont="1" applyFill="1" applyBorder="1"/>
    <xf numFmtId="0" fontId="11" fillId="2" borderId="0" xfId="0" applyFont="1" applyFill="1"/>
    <xf numFmtId="0" fontId="12" fillId="2" borderId="1" xfId="0" applyFont="1" applyFill="1" applyBorder="1" applyAlignment="1">
      <alignment horizontal="center" vertical="center"/>
    </xf>
    <xf numFmtId="10" fontId="12" fillId="2" borderId="10" xfId="0" applyNumberFormat="1" applyFont="1" applyFill="1" applyBorder="1" applyAlignment="1">
      <alignment horizontal="center" vertical="center"/>
    </xf>
    <xf numFmtId="0" fontId="13" fillId="2" borderId="0" xfId="0" applyFont="1" applyFill="1"/>
    <xf numFmtId="10" fontId="12" fillId="2" borderId="11" xfId="0" applyNumberFormat="1" applyFont="1" applyFill="1" applyBorder="1" applyAlignment="1">
      <alignment horizontal="center" vertical="center"/>
    </xf>
    <xf numFmtId="0" fontId="13" fillId="5" borderId="0" xfId="0" applyFont="1" applyFill="1" applyAlignment="1">
      <alignment vertical="center"/>
    </xf>
    <xf numFmtId="0" fontId="13" fillId="8" borderId="0" xfId="0" applyFont="1" applyFill="1" applyAlignment="1">
      <alignment vertical="center"/>
    </xf>
    <xf numFmtId="0" fontId="13" fillId="7" borderId="0" xfId="0" applyFont="1" applyFill="1" applyAlignment="1">
      <alignment vertical="center"/>
    </xf>
    <xf numFmtId="0" fontId="13" fillId="6" borderId="0" xfId="0" applyFont="1" applyFill="1" applyAlignment="1">
      <alignment vertical="center"/>
    </xf>
    <xf numFmtId="0" fontId="13" fillId="4" borderId="0" xfId="0" applyFont="1" applyFill="1" applyAlignment="1">
      <alignment vertical="center"/>
    </xf>
    <xf numFmtId="0" fontId="13" fillId="2" borderId="0" xfId="0" applyFont="1" applyFill="1" applyAlignment="1">
      <alignment horizontal="center" vertical="center"/>
    </xf>
    <xf numFmtId="0" fontId="14" fillId="12" borderId="0" xfId="0" applyFont="1" applyFill="1" applyAlignment="1">
      <alignment horizontal="center" vertical="center"/>
    </xf>
    <xf numFmtId="0" fontId="6" fillId="13" borderId="0" xfId="0" applyFont="1" applyFill="1" applyAlignment="1">
      <alignment horizontal="center" vertical="top"/>
    </xf>
    <xf numFmtId="0" fontId="10" fillId="2" borderId="0" xfId="0" applyFont="1" applyFill="1" applyAlignment="1">
      <alignment horizontal="right"/>
    </xf>
  </cellXfs>
  <cellStyles count="1">
    <cellStyle name="Normal" xfId="0" builtinId="0"/>
  </cellStyles>
  <dxfs count="0"/>
  <tableStyles count="0" defaultTableStyle="TableStyleMedium2" defaultPivotStyle="PivotStyleLight16"/>
  <colors>
    <mruColors>
      <color rgb="FF256AB0"/>
      <color rgb="FF356B97"/>
      <color rgb="FF3E4C62"/>
      <color rgb="FFFF3847"/>
      <color rgb="FFD4DEFF"/>
      <color rgb="FF8777BB"/>
      <color rgb="FF3B54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63500</xdr:colOff>
      <xdr:row>2</xdr:row>
      <xdr:rowOff>12700</xdr:rowOff>
    </xdr:from>
    <xdr:to>
      <xdr:col>4</xdr:col>
      <xdr:colOff>101600</xdr:colOff>
      <xdr:row>31</xdr:row>
      <xdr:rowOff>101600</xdr:rowOff>
    </xdr:to>
    <xdr:cxnSp macro="">
      <xdr:nvCxnSpPr>
        <xdr:cNvPr id="3" name="Straight Connector 2">
          <a:extLst>
            <a:ext uri="{FF2B5EF4-FFF2-40B4-BE49-F238E27FC236}">
              <a16:creationId xmlns:a16="http://schemas.microsoft.com/office/drawing/2014/main" id="{1A6B1318-3344-6EB1-F4F3-80C975DD709A}"/>
            </a:ext>
          </a:extLst>
        </xdr:cNvPr>
        <xdr:cNvCxnSpPr/>
      </xdr:nvCxnSpPr>
      <xdr:spPr>
        <a:xfrm flipH="1">
          <a:off x="5740400" y="520700"/>
          <a:ext cx="38100" cy="61849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3</xdr:row>
      <xdr:rowOff>0</xdr:rowOff>
    </xdr:from>
    <xdr:to>
      <xdr:col>7</xdr:col>
      <xdr:colOff>825500</xdr:colOff>
      <xdr:row>3</xdr:row>
      <xdr:rowOff>0</xdr:rowOff>
    </xdr:to>
    <xdr:cxnSp macro="">
      <xdr:nvCxnSpPr>
        <xdr:cNvPr id="3" name="Straight Arrow Connector 2">
          <a:extLst>
            <a:ext uri="{FF2B5EF4-FFF2-40B4-BE49-F238E27FC236}">
              <a16:creationId xmlns:a16="http://schemas.microsoft.com/office/drawing/2014/main" id="{23E52CC6-BFE5-BDFA-7232-98610B70F42B}"/>
            </a:ext>
          </a:extLst>
        </xdr:cNvPr>
        <xdr:cNvCxnSpPr/>
      </xdr:nvCxnSpPr>
      <xdr:spPr>
        <a:xfrm>
          <a:off x="2857500" y="609600"/>
          <a:ext cx="4330700"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152400</xdr:colOff>
      <xdr:row>4</xdr:row>
      <xdr:rowOff>127000</xdr:rowOff>
    </xdr:from>
    <xdr:to>
      <xdr:col>1</xdr:col>
      <xdr:colOff>152400</xdr:colOff>
      <xdr:row>10</xdr:row>
      <xdr:rowOff>76200</xdr:rowOff>
    </xdr:to>
    <xdr:cxnSp macro="">
      <xdr:nvCxnSpPr>
        <xdr:cNvPr id="4" name="Straight Arrow Connector 3">
          <a:extLst>
            <a:ext uri="{FF2B5EF4-FFF2-40B4-BE49-F238E27FC236}">
              <a16:creationId xmlns:a16="http://schemas.microsoft.com/office/drawing/2014/main" id="{5219E3C1-5567-6C46-97B6-2FAB5A090024}"/>
            </a:ext>
          </a:extLst>
        </xdr:cNvPr>
        <xdr:cNvCxnSpPr/>
      </xdr:nvCxnSpPr>
      <xdr:spPr>
        <a:xfrm>
          <a:off x="4813300" y="2159000"/>
          <a:ext cx="0" cy="17399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05A4A-1592-2041-9D67-3E28464B8334}">
  <dimension ref="A1:X61"/>
  <sheetViews>
    <sheetView zoomScale="60" workbookViewId="0">
      <selection activeCell="E18" sqref="E18"/>
    </sheetView>
  </sheetViews>
  <sheetFormatPr baseColWidth="10" defaultRowHeight="16"/>
  <cols>
    <col min="2" max="2" width="35" customWidth="1"/>
    <col min="4" max="4" width="17.83203125" customWidth="1"/>
    <col min="5" max="5" width="21.83203125" customWidth="1"/>
    <col min="6" max="6" width="17.6640625" customWidth="1"/>
    <col min="7" max="7" width="13.1640625" customWidth="1"/>
    <col min="8" max="8" width="15.83203125" customWidth="1"/>
    <col min="9" max="9" width="17.1640625" customWidth="1"/>
    <col min="12" max="12" width="61.33203125" customWidth="1"/>
    <col min="13" max="13" width="28.83203125" customWidth="1"/>
    <col min="17" max="17" width="24.33203125" customWidth="1"/>
    <col min="18" max="18" width="13.6640625" bestFit="1" customWidth="1"/>
    <col min="19" max="19" width="15.33203125"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ht="24" customHeight="1">
      <c r="A2" s="1"/>
      <c r="B2" s="39" t="s">
        <v>0</v>
      </c>
      <c r="C2" s="40"/>
      <c r="D2" s="40"/>
      <c r="E2" s="40">
        <v>1</v>
      </c>
      <c r="F2" s="40">
        <v>2</v>
      </c>
      <c r="G2" s="40">
        <v>3</v>
      </c>
      <c r="H2" s="40">
        <v>4</v>
      </c>
      <c r="I2" s="40">
        <v>5</v>
      </c>
      <c r="J2" s="1"/>
      <c r="K2" s="1"/>
      <c r="L2" s="1"/>
      <c r="M2" s="28" t="s">
        <v>79</v>
      </c>
      <c r="N2" s="28"/>
      <c r="O2" s="28"/>
      <c r="P2" s="28"/>
      <c r="Q2" s="28"/>
      <c r="R2" s="28"/>
      <c r="S2" s="28"/>
      <c r="T2" s="28"/>
      <c r="U2" s="28"/>
      <c r="V2" s="28"/>
      <c r="W2" s="28"/>
      <c r="X2" s="28"/>
    </row>
    <row r="3" spans="1:24" ht="21" customHeight="1">
      <c r="A3" s="1"/>
      <c r="B3" s="1"/>
      <c r="C3" s="72" t="s">
        <v>11</v>
      </c>
      <c r="D3" s="72" t="s">
        <v>1</v>
      </c>
      <c r="E3" s="72" t="s">
        <v>2</v>
      </c>
      <c r="F3" s="72" t="s">
        <v>3</v>
      </c>
      <c r="G3" s="72" t="s">
        <v>4</v>
      </c>
      <c r="H3" s="72" t="s">
        <v>5</v>
      </c>
      <c r="I3" s="72" t="s">
        <v>6</v>
      </c>
      <c r="J3" s="1"/>
      <c r="K3" s="1"/>
      <c r="L3" s="1"/>
      <c r="M3" s="28"/>
      <c r="N3" s="28"/>
      <c r="O3" s="28"/>
      <c r="P3" s="28"/>
      <c r="Q3" s="28" t="s">
        <v>9</v>
      </c>
      <c r="R3" s="28"/>
      <c r="S3" s="28" t="s">
        <v>1</v>
      </c>
      <c r="T3" s="28"/>
      <c r="U3" s="28"/>
      <c r="V3" s="28"/>
      <c r="W3" s="28"/>
      <c r="X3" s="28"/>
    </row>
    <row r="4" spans="1:24">
      <c r="A4" s="1"/>
      <c r="B4" s="1"/>
      <c r="C4" s="1"/>
      <c r="D4" s="1"/>
      <c r="E4" s="1"/>
      <c r="F4" s="1"/>
      <c r="G4" s="1"/>
      <c r="H4" s="1"/>
      <c r="I4" s="1"/>
      <c r="J4" s="1"/>
      <c r="K4" s="1"/>
      <c r="L4" s="1"/>
      <c r="M4" s="28"/>
      <c r="N4" s="28"/>
      <c r="O4" s="28"/>
      <c r="P4" s="28"/>
      <c r="Q4" s="28" t="s">
        <v>10</v>
      </c>
      <c r="R4" s="29"/>
      <c r="S4" s="29">
        <v>45140000000</v>
      </c>
      <c r="T4" s="28"/>
      <c r="U4" s="28"/>
      <c r="V4" s="28"/>
      <c r="W4" s="28"/>
      <c r="X4" s="28"/>
    </row>
    <row r="5" spans="1:24">
      <c r="A5" s="1"/>
      <c r="B5" s="1" t="s">
        <v>7</v>
      </c>
      <c r="C5" s="1"/>
      <c r="D5" s="5">
        <v>344005</v>
      </c>
      <c r="E5" s="1">
        <f>D5*(1+0.12)</f>
        <v>385285.60000000003</v>
      </c>
      <c r="F5" s="1">
        <f>E5*(1+0.12)</f>
        <v>431519.87200000009</v>
      </c>
      <c r="G5" s="1">
        <f>F5*(1+0.1)</f>
        <v>474671.85920000012</v>
      </c>
      <c r="H5" s="1">
        <f t="shared" ref="H5:I5" si="0">G5*(1+0.1)</f>
        <v>522139.0451200002</v>
      </c>
      <c r="I5" s="1">
        <f t="shared" si="0"/>
        <v>574352.94963200029</v>
      </c>
      <c r="J5" s="1"/>
      <c r="K5" s="1"/>
      <c r="L5" s="1"/>
      <c r="M5" s="28"/>
      <c r="N5" s="28"/>
      <c r="O5" s="28"/>
      <c r="P5" s="28"/>
      <c r="Q5" s="28" t="s">
        <v>12</v>
      </c>
      <c r="R5" s="29"/>
      <c r="S5" s="29">
        <v>344005</v>
      </c>
      <c r="T5" s="28"/>
      <c r="U5" s="28"/>
      <c r="V5" s="28"/>
      <c r="W5" s="28"/>
      <c r="X5" s="28"/>
    </row>
    <row r="6" spans="1:24">
      <c r="A6" s="1"/>
      <c r="B6" s="1" t="s">
        <v>8</v>
      </c>
      <c r="C6" s="1"/>
      <c r="D6" s="1">
        <f>S6</f>
        <v>131219.02297931717</v>
      </c>
      <c r="E6" s="1">
        <f>D6</f>
        <v>131219.02297931717</v>
      </c>
      <c r="F6" s="1">
        <f t="shared" ref="F6:I6" si="1">E6</f>
        <v>131219.02297931717</v>
      </c>
      <c r="G6" s="1">
        <f t="shared" si="1"/>
        <v>131219.02297931717</v>
      </c>
      <c r="H6" s="1">
        <f t="shared" si="1"/>
        <v>131219.02297931717</v>
      </c>
      <c r="I6" s="1">
        <f t="shared" si="1"/>
        <v>131219.02297931717</v>
      </c>
      <c r="J6" s="1" t="s">
        <v>74</v>
      </c>
      <c r="K6" s="1"/>
      <c r="L6" s="1"/>
      <c r="M6" s="28" t="s">
        <v>14</v>
      </c>
      <c r="N6" s="28" t="s">
        <v>15</v>
      </c>
      <c r="O6" s="28"/>
      <c r="P6" s="28"/>
      <c r="Q6" s="28" t="s">
        <v>13</v>
      </c>
      <c r="R6" s="28"/>
      <c r="S6" s="28">
        <f>S4/S5</f>
        <v>131219.02297931717</v>
      </c>
      <c r="T6" s="28"/>
      <c r="U6" s="28"/>
      <c r="V6" s="28"/>
      <c r="W6" s="28"/>
      <c r="X6" s="28"/>
    </row>
    <row r="7" spans="1:24">
      <c r="A7" s="1"/>
      <c r="B7" s="3" t="s">
        <v>16</v>
      </c>
      <c r="C7" s="3">
        <v>5010</v>
      </c>
      <c r="D7" s="3">
        <v>4514</v>
      </c>
      <c r="E7" s="3">
        <f t="shared" ref="E7:I7" si="2">E5*E6/10000000</f>
        <v>5055.6800000000012</v>
      </c>
      <c r="F7" s="3">
        <f t="shared" si="2"/>
        <v>5662.3616000000011</v>
      </c>
      <c r="G7" s="3">
        <f t="shared" si="2"/>
        <v>6228.5977600000024</v>
      </c>
      <c r="H7" s="3">
        <f t="shared" si="2"/>
        <v>6851.4575360000026</v>
      </c>
      <c r="I7" s="3">
        <f t="shared" si="2"/>
        <v>7536.6032896000042</v>
      </c>
      <c r="J7" s="1" t="s">
        <v>73</v>
      </c>
      <c r="K7" s="1"/>
      <c r="L7" s="1"/>
      <c r="M7" s="28"/>
      <c r="N7" s="28"/>
      <c r="O7" s="28"/>
      <c r="P7" s="28"/>
      <c r="Q7" s="28"/>
      <c r="R7" s="28"/>
      <c r="S7" s="28"/>
      <c r="T7" s="28"/>
      <c r="U7" s="28"/>
      <c r="V7" s="28"/>
      <c r="W7" s="28"/>
      <c r="X7" s="28"/>
    </row>
    <row r="8" spans="1:24">
      <c r="A8" s="1"/>
      <c r="B8" s="1" t="s">
        <v>17</v>
      </c>
      <c r="C8" s="1"/>
      <c r="D8" s="1"/>
      <c r="E8" s="1">
        <f>((E7-D7)/E7)*100</f>
        <v>10.714285714285737</v>
      </c>
      <c r="F8" s="1">
        <f t="shared" ref="F8:I8" si="3">((F7-E7)/F7)*100</f>
        <v>10.714285714285712</v>
      </c>
      <c r="G8" s="1">
        <f t="shared" si="3"/>
        <v>9.0909090909091077</v>
      </c>
      <c r="H8" s="1">
        <f t="shared" si="3"/>
        <v>9.0909090909090917</v>
      </c>
      <c r="I8" s="1">
        <f t="shared" si="3"/>
        <v>9.0909090909091077</v>
      </c>
      <c r="J8" s="1" t="s">
        <v>73</v>
      </c>
      <c r="K8" s="1"/>
      <c r="L8" s="1"/>
      <c r="M8" s="28"/>
      <c r="N8" s="28"/>
      <c r="O8" s="28"/>
      <c r="P8" s="28"/>
      <c r="Q8" s="28"/>
      <c r="R8" s="28"/>
      <c r="S8" s="28"/>
      <c r="T8" s="28"/>
      <c r="U8" s="28"/>
      <c r="V8" s="28"/>
      <c r="W8" s="28"/>
      <c r="X8" s="28"/>
    </row>
    <row r="9" spans="1:24">
      <c r="A9" s="1"/>
      <c r="B9" s="1"/>
      <c r="C9" s="1"/>
      <c r="D9" s="1"/>
      <c r="E9" s="1"/>
      <c r="F9" s="1"/>
      <c r="G9" s="1"/>
      <c r="H9" s="1"/>
      <c r="I9" s="1"/>
      <c r="J9" s="1"/>
      <c r="K9" s="1"/>
      <c r="L9" s="1"/>
      <c r="M9" s="28"/>
      <c r="N9" s="28"/>
      <c r="O9" s="28"/>
      <c r="P9" s="28"/>
      <c r="Q9" s="28"/>
      <c r="R9" s="28"/>
      <c r="S9" s="28"/>
      <c r="T9" s="28"/>
      <c r="U9" s="28"/>
      <c r="V9" s="28"/>
      <c r="W9" s="28"/>
      <c r="X9" s="28"/>
    </row>
    <row r="10" spans="1:24">
      <c r="A10" s="1"/>
      <c r="B10" s="1" t="s">
        <v>18</v>
      </c>
      <c r="C10" s="1"/>
      <c r="D10" s="6">
        <v>0.19</v>
      </c>
      <c r="E10" s="6">
        <v>0.25</v>
      </c>
      <c r="F10" s="4">
        <v>0.36499999999999999</v>
      </c>
      <c r="G10" s="4">
        <v>0.36499999999999999</v>
      </c>
      <c r="H10" s="4">
        <v>0.36499999999999999</v>
      </c>
      <c r="I10" s="4">
        <v>0.36499999999999999</v>
      </c>
      <c r="J10" s="1" t="s">
        <v>71</v>
      </c>
      <c r="K10" s="1"/>
      <c r="L10" s="1"/>
      <c r="M10" s="28"/>
      <c r="N10" s="28"/>
      <c r="O10" s="28"/>
      <c r="P10" s="28"/>
      <c r="Q10" s="28"/>
      <c r="R10" s="28"/>
      <c r="S10" s="28"/>
      <c r="T10" s="28"/>
      <c r="U10" s="28"/>
      <c r="V10" s="28"/>
      <c r="W10" s="28"/>
      <c r="X10" s="28"/>
    </row>
    <row r="11" spans="1:24">
      <c r="A11" s="1"/>
      <c r="B11" s="1" t="s">
        <v>19</v>
      </c>
      <c r="C11" s="1"/>
      <c r="D11" s="1">
        <f>D10*D7</f>
        <v>857.66</v>
      </c>
      <c r="E11" s="1">
        <f>E7*E10</f>
        <v>1263.9200000000003</v>
      </c>
      <c r="F11" s="1">
        <f t="shared" ref="F11:I11" si="4">F7*F10</f>
        <v>2066.7619840000002</v>
      </c>
      <c r="G11" s="1">
        <f t="shared" si="4"/>
        <v>2273.4381824000006</v>
      </c>
      <c r="H11" s="1">
        <f t="shared" si="4"/>
        <v>2500.7820006400011</v>
      </c>
      <c r="I11" s="1">
        <f t="shared" si="4"/>
        <v>2750.8602007040013</v>
      </c>
      <c r="J11" s="1" t="s">
        <v>73</v>
      </c>
      <c r="K11" s="1"/>
      <c r="L11" s="1"/>
      <c r="M11" s="28" t="s">
        <v>21</v>
      </c>
      <c r="N11" s="28"/>
      <c r="O11" s="28"/>
      <c r="P11" s="28"/>
      <c r="Q11" s="28"/>
      <c r="R11" s="28"/>
      <c r="S11" s="28"/>
      <c r="T11" s="28"/>
      <c r="U11" s="28"/>
      <c r="V11" s="28"/>
      <c r="W11" s="28"/>
      <c r="X11" s="28"/>
    </row>
    <row r="12" spans="1:24">
      <c r="A12" s="1"/>
      <c r="B12" s="1" t="s">
        <v>22</v>
      </c>
      <c r="C12" s="1"/>
      <c r="D12" s="6">
        <v>0.5</v>
      </c>
      <c r="E12" s="6">
        <v>0.35</v>
      </c>
      <c r="F12" s="6">
        <v>0.27</v>
      </c>
      <c r="G12" s="6">
        <v>0.27</v>
      </c>
      <c r="H12" s="6">
        <v>0.27</v>
      </c>
      <c r="I12" s="6">
        <v>0.27</v>
      </c>
      <c r="J12" s="1" t="s">
        <v>71</v>
      </c>
      <c r="K12" s="1"/>
      <c r="L12" s="1"/>
      <c r="M12" s="28" t="s">
        <v>23</v>
      </c>
      <c r="N12" s="28"/>
      <c r="O12" s="28"/>
      <c r="P12" s="28"/>
      <c r="Q12" s="28"/>
      <c r="R12" s="28"/>
      <c r="S12" s="28"/>
      <c r="T12" s="28"/>
      <c r="U12" s="28"/>
      <c r="V12" s="28"/>
      <c r="W12" s="28"/>
      <c r="X12" s="28"/>
    </row>
    <row r="13" spans="1:24">
      <c r="A13" s="1"/>
      <c r="B13" s="1" t="s">
        <v>20</v>
      </c>
      <c r="C13" s="1"/>
      <c r="D13" s="1">
        <f>D12*D7</f>
        <v>2257</v>
      </c>
      <c r="E13" s="1">
        <f t="shared" ref="E13:I13" si="5">E12*E7</f>
        <v>1769.4880000000003</v>
      </c>
      <c r="F13" s="1">
        <f t="shared" si="5"/>
        <v>1528.8376320000004</v>
      </c>
      <c r="G13" s="1">
        <f t="shared" si="5"/>
        <v>1681.7213952000006</v>
      </c>
      <c r="H13" s="1">
        <f t="shared" si="5"/>
        <v>1849.8935347200008</v>
      </c>
      <c r="I13" s="1">
        <f t="shared" si="5"/>
        <v>2034.8828881920012</v>
      </c>
      <c r="J13" s="1" t="s">
        <v>73</v>
      </c>
      <c r="K13" s="1"/>
      <c r="L13" s="1"/>
      <c r="M13" s="28" t="s">
        <v>25</v>
      </c>
      <c r="N13" s="28"/>
      <c r="O13" s="28"/>
      <c r="P13" s="28"/>
      <c r="Q13" s="28"/>
      <c r="R13" s="28"/>
      <c r="S13" s="28"/>
      <c r="T13" s="28"/>
      <c r="U13" s="28"/>
      <c r="V13" s="28"/>
      <c r="W13" s="28"/>
      <c r="X13" s="28"/>
    </row>
    <row r="14" spans="1:24">
      <c r="A14" s="1"/>
      <c r="B14" s="1" t="s">
        <v>24</v>
      </c>
      <c r="C14" s="1"/>
      <c r="D14" s="1">
        <f>D11-D13</f>
        <v>-1399.3400000000001</v>
      </c>
      <c r="E14" s="1">
        <f t="shared" ref="E14:I14" si="6">E11-E13</f>
        <v>-505.56799999999998</v>
      </c>
      <c r="F14" s="1">
        <f t="shared" si="6"/>
        <v>537.92435199999977</v>
      </c>
      <c r="G14" s="1">
        <f t="shared" si="6"/>
        <v>591.7167872</v>
      </c>
      <c r="H14" s="1">
        <f t="shared" si="6"/>
        <v>650.88846592000027</v>
      </c>
      <c r="I14" s="1">
        <f t="shared" si="6"/>
        <v>715.97731251200003</v>
      </c>
      <c r="J14" s="1" t="s">
        <v>73</v>
      </c>
      <c r="K14" s="1"/>
      <c r="L14" s="1"/>
      <c r="M14" s="28"/>
      <c r="N14" s="28"/>
      <c r="O14" s="28"/>
      <c r="P14" s="28"/>
      <c r="Q14" s="28"/>
      <c r="R14" s="28"/>
      <c r="S14" s="28"/>
      <c r="T14" s="28"/>
      <c r="U14" s="28"/>
      <c r="V14" s="28"/>
      <c r="W14" s="28"/>
      <c r="X14" s="28"/>
    </row>
    <row r="15" spans="1:24">
      <c r="A15" s="1"/>
      <c r="B15" s="1"/>
      <c r="C15" s="1"/>
      <c r="D15" s="1"/>
      <c r="E15" s="1"/>
      <c r="F15" s="1"/>
      <c r="G15" s="1"/>
      <c r="H15" s="1"/>
      <c r="I15" s="1"/>
      <c r="J15" s="1"/>
      <c r="K15" s="1"/>
      <c r="L15" s="1"/>
      <c r="M15" s="28"/>
      <c r="N15" s="28"/>
      <c r="O15" s="28"/>
      <c r="P15" s="28"/>
      <c r="Q15" s="28"/>
      <c r="R15" s="28"/>
      <c r="S15" s="28"/>
      <c r="T15" s="28"/>
      <c r="U15" s="28"/>
      <c r="V15" s="28"/>
      <c r="W15" s="28"/>
      <c r="X15" s="28"/>
    </row>
    <row r="16" spans="1:24">
      <c r="A16" s="1"/>
      <c r="B16" s="1" t="s">
        <v>26</v>
      </c>
      <c r="C16" s="1"/>
      <c r="D16" s="1">
        <v>0</v>
      </c>
      <c r="E16" s="1">
        <v>0</v>
      </c>
      <c r="F16" s="1">
        <v>0</v>
      </c>
      <c r="G16" s="1">
        <v>0</v>
      </c>
      <c r="H16" s="1"/>
      <c r="I16" s="1">
        <v>0</v>
      </c>
      <c r="J16" s="1"/>
      <c r="K16" s="1"/>
      <c r="L16" s="1"/>
      <c r="M16" s="28" t="s">
        <v>27</v>
      </c>
      <c r="N16" s="28"/>
      <c r="O16" s="28"/>
      <c r="P16" s="28"/>
      <c r="Q16" s="28"/>
      <c r="R16" s="28"/>
      <c r="S16" s="28"/>
      <c r="T16" s="28"/>
      <c r="U16" s="28"/>
      <c r="V16" s="28"/>
      <c r="W16" s="28"/>
      <c r="X16" s="28"/>
    </row>
    <row r="17" spans="1:24">
      <c r="A17" s="1"/>
      <c r="B17" s="1"/>
      <c r="C17" s="1"/>
      <c r="D17" s="1"/>
      <c r="E17" s="1"/>
      <c r="F17" s="1"/>
      <c r="G17" s="1"/>
      <c r="H17" s="1"/>
      <c r="I17" s="1"/>
      <c r="J17" s="1"/>
      <c r="K17" s="1"/>
      <c r="L17" s="1"/>
      <c r="M17" s="28" t="s">
        <v>83</v>
      </c>
      <c r="N17" s="28"/>
      <c r="O17" s="28"/>
      <c r="P17" s="28"/>
      <c r="Q17" s="28"/>
      <c r="R17" s="28"/>
      <c r="S17" s="28"/>
      <c r="T17" s="28"/>
      <c r="U17" s="28"/>
      <c r="V17" s="28"/>
      <c r="W17" s="28"/>
      <c r="X17" s="28"/>
    </row>
    <row r="18" spans="1:24">
      <c r="A18" s="1"/>
      <c r="B18" s="49" t="s">
        <v>28</v>
      </c>
      <c r="C18" s="50"/>
      <c r="D18" s="50">
        <f>D14</f>
        <v>-1399.3400000000001</v>
      </c>
      <c r="E18" s="50">
        <f t="shared" ref="E18:I18" si="7">E14</f>
        <v>-505.56799999999998</v>
      </c>
      <c r="F18" s="50">
        <f t="shared" si="7"/>
        <v>537.92435199999977</v>
      </c>
      <c r="G18" s="50">
        <f t="shared" si="7"/>
        <v>591.7167872</v>
      </c>
      <c r="H18" s="50">
        <f t="shared" si="7"/>
        <v>650.88846592000027</v>
      </c>
      <c r="I18" s="50">
        <f t="shared" si="7"/>
        <v>715.97731251200003</v>
      </c>
      <c r="J18" s="1" t="s">
        <v>73</v>
      </c>
      <c r="K18" s="1"/>
      <c r="L18" s="1"/>
      <c r="M18" s="28"/>
      <c r="N18" s="28"/>
      <c r="O18" s="28"/>
      <c r="P18" s="28"/>
      <c r="Q18" s="28"/>
      <c r="R18" s="28"/>
      <c r="S18" s="28"/>
      <c r="T18" s="28"/>
      <c r="U18" s="28"/>
      <c r="V18" s="28"/>
      <c r="W18" s="28"/>
      <c r="X18" s="28"/>
    </row>
    <row r="19" spans="1:24">
      <c r="A19" s="1"/>
      <c r="B19" s="1"/>
      <c r="C19" s="1"/>
      <c r="D19" s="1"/>
      <c r="E19" s="1"/>
      <c r="F19" s="1"/>
      <c r="G19" s="1"/>
      <c r="H19" s="1"/>
      <c r="I19" s="1"/>
      <c r="J19" s="1"/>
      <c r="K19" s="1"/>
      <c r="L19" s="1"/>
      <c r="M19" s="28"/>
      <c r="N19" s="28"/>
      <c r="O19" s="28"/>
      <c r="P19" s="28"/>
      <c r="Q19" s="28"/>
      <c r="R19" s="28"/>
      <c r="S19" s="28"/>
      <c r="T19" s="28"/>
      <c r="U19" s="28"/>
      <c r="V19" s="28"/>
      <c r="W19" s="28"/>
      <c r="X19" s="28"/>
    </row>
    <row r="20" spans="1:24">
      <c r="A20" s="1"/>
      <c r="B20" s="1" t="s">
        <v>29</v>
      </c>
      <c r="C20" s="1">
        <v>358</v>
      </c>
      <c r="D20" s="1">
        <v>566</v>
      </c>
      <c r="E20" s="1">
        <f>E21*E7</f>
        <v>633.92000000000019</v>
      </c>
      <c r="F20" s="1">
        <f t="shared" ref="F20:I20" si="8">F21*F7</f>
        <v>709.99040000000014</v>
      </c>
      <c r="G20" s="1">
        <f t="shared" si="8"/>
        <v>780.98944000000029</v>
      </c>
      <c r="H20" s="1">
        <f t="shared" si="8"/>
        <v>859.08838400000036</v>
      </c>
      <c r="I20" s="1">
        <f t="shared" si="8"/>
        <v>944.99722240000051</v>
      </c>
      <c r="J20" s="1" t="s">
        <v>73</v>
      </c>
      <c r="K20" s="1"/>
      <c r="L20" s="1"/>
      <c r="M20" s="28"/>
      <c r="N20" s="28"/>
      <c r="O20" s="28"/>
      <c r="P20" s="28"/>
      <c r="Q20" s="28"/>
      <c r="R20" s="28"/>
      <c r="S20" s="28"/>
      <c r="T20" s="28"/>
      <c r="U20" s="28"/>
      <c r="V20" s="28"/>
      <c r="W20" s="28"/>
      <c r="X20" s="28"/>
    </row>
    <row r="21" spans="1:24">
      <c r="A21" s="1"/>
      <c r="B21" s="1" t="s">
        <v>30</v>
      </c>
      <c r="C21" s="4">
        <f>C20/C7</f>
        <v>7.1457085828343314E-2</v>
      </c>
      <c r="D21" s="4">
        <f>D20/D7</f>
        <v>0.12538768276473194</v>
      </c>
      <c r="E21" s="4">
        <f>D21</f>
        <v>0.12538768276473194</v>
      </c>
      <c r="F21" s="4">
        <f t="shared" ref="F21:I21" si="9">E21</f>
        <v>0.12538768276473194</v>
      </c>
      <c r="G21" s="4">
        <f t="shared" si="9"/>
        <v>0.12538768276473194</v>
      </c>
      <c r="H21" s="4">
        <f t="shared" si="9"/>
        <v>0.12538768276473194</v>
      </c>
      <c r="I21" s="4">
        <f t="shared" si="9"/>
        <v>0.12538768276473194</v>
      </c>
      <c r="J21" s="1" t="s">
        <v>71</v>
      </c>
      <c r="K21" s="1"/>
      <c r="L21" s="1"/>
      <c r="M21" s="28" t="s">
        <v>31</v>
      </c>
      <c r="N21" s="28"/>
      <c r="O21" s="28"/>
      <c r="P21" s="28"/>
      <c r="Q21" s="28"/>
      <c r="R21" s="28"/>
      <c r="S21" s="28"/>
      <c r="T21" s="28"/>
      <c r="U21" s="28"/>
      <c r="V21" s="28"/>
      <c r="W21" s="28"/>
      <c r="X21" s="28"/>
    </row>
    <row r="22" spans="1:24">
      <c r="A22" s="1"/>
      <c r="B22" s="1"/>
      <c r="C22" s="1"/>
      <c r="D22" s="1"/>
      <c r="E22" s="1"/>
      <c r="F22" s="1"/>
      <c r="G22" s="1"/>
      <c r="H22" s="1"/>
      <c r="I22" s="1"/>
      <c r="J22" s="1"/>
      <c r="K22" s="1"/>
      <c r="L22" s="1"/>
      <c r="M22" s="28"/>
      <c r="N22" s="28"/>
      <c r="O22" s="28"/>
      <c r="P22" s="28"/>
      <c r="Q22" s="28"/>
      <c r="R22" s="28"/>
      <c r="S22" s="28"/>
      <c r="T22" s="28"/>
      <c r="U22" s="28"/>
      <c r="V22" s="28"/>
      <c r="W22" s="28"/>
      <c r="X22" s="28"/>
    </row>
    <row r="23" spans="1:24">
      <c r="A23" s="1"/>
      <c r="B23" s="1" t="s">
        <v>32</v>
      </c>
      <c r="C23" s="1">
        <v>1136</v>
      </c>
      <c r="D23" s="1">
        <v>2864</v>
      </c>
      <c r="E23" s="1">
        <f>E24*E7</f>
        <v>1516.7040000000004</v>
      </c>
      <c r="F23" s="1">
        <f t="shared" ref="F23:I23" si="10">F24*F7</f>
        <v>849.35424000000012</v>
      </c>
      <c r="G23" s="1">
        <f t="shared" si="10"/>
        <v>467.14483200000018</v>
      </c>
      <c r="H23" s="1">
        <f t="shared" si="10"/>
        <v>411.08745216000017</v>
      </c>
      <c r="I23" s="1">
        <f t="shared" si="10"/>
        <v>452.19619737600021</v>
      </c>
      <c r="J23" s="1" t="s">
        <v>73</v>
      </c>
      <c r="K23" s="1"/>
      <c r="L23" s="1"/>
      <c r="M23" s="30" t="s">
        <v>70</v>
      </c>
      <c r="N23" s="28"/>
      <c r="O23" s="28"/>
      <c r="P23" s="28"/>
      <c r="Q23" s="28"/>
      <c r="R23" s="28"/>
      <c r="S23" s="28"/>
      <c r="T23" s="28"/>
      <c r="U23" s="28"/>
      <c r="V23" s="28"/>
      <c r="W23" s="28"/>
      <c r="X23" s="28"/>
    </row>
    <row r="24" spans="1:24">
      <c r="A24" s="1"/>
      <c r="B24" s="1" t="s">
        <v>30</v>
      </c>
      <c r="C24" s="4">
        <f>C23/C7</f>
        <v>0.22674650698602794</v>
      </c>
      <c r="D24" s="4">
        <f>D23/D7</f>
        <v>0.63447053610988036</v>
      </c>
      <c r="E24" s="6">
        <v>0.3</v>
      </c>
      <c r="F24" s="6">
        <v>0.15</v>
      </c>
      <c r="G24" s="6">
        <v>7.4999999999999997E-2</v>
      </c>
      <c r="H24" s="6">
        <v>0.06</v>
      </c>
      <c r="I24" s="6">
        <v>0.06</v>
      </c>
      <c r="J24" s="1" t="s">
        <v>71</v>
      </c>
      <c r="K24" s="1"/>
      <c r="L24" s="1"/>
      <c r="M24" s="28" t="s">
        <v>33</v>
      </c>
      <c r="N24" s="28"/>
      <c r="O24" s="28"/>
      <c r="P24" s="28"/>
      <c r="Q24" s="28"/>
      <c r="R24" s="28"/>
      <c r="S24" s="28"/>
      <c r="T24" s="28"/>
      <c r="U24" s="28"/>
      <c r="V24" s="28"/>
      <c r="W24" s="28"/>
      <c r="X24" s="28"/>
    </row>
    <row r="25" spans="1:24">
      <c r="A25" s="1"/>
      <c r="B25" s="1"/>
      <c r="C25" s="1"/>
      <c r="D25" s="1"/>
      <c r="E25" s="1"/>
      <c r="F25" s="1"/>
      <c r="G25" s="1"/>
      <c r="H25" s="1"/>
      <c r="I25" s="1"/>
      <c r="J25" s="1"/>
      <c r="K25" s="1"/>
      <c r="L25" s="1"/>
      <c r="M25" s="28"/>
      <c r="N25" s="28"/>
      <c r="O25" s="28"/>
      <c r="P25" s="28"/>
      <c r="Q25" s="28"/>
      <c r="R25" s="28"/>
      <c r="S25" s="28"/>
      <c r="T25" s="28"/>
      <c r="U25" s="28"/>
      <c r="V25" s="28"/>
      <c r="W25" s="28"/>
      <c r="X25" s="28"/>
    </row>
    <row r="26" spans="1:24">
      <c r="A26" s="1"/>
      <c r="B26" s="1" t="s">
        <v>34</v>
      </c>
      <c r="C26" s="1">
        <v>-588</v>
      </c>
      <c r="D26" s="1">
        <v>3341</v>
      </c>
      <c r="E26" s="1">
        <v>-400</v>
      </c>
      <c r="F26" s="1">
        <v>-400</v>
      </c>
      <c r="G26" s="1">
        <v>-400</v>
      </c>
      <c r="H26" s="1">
        <v>-400</v>
      </c>
      <c r="I26" s="1">
        <v>-400</v>
      </c>
      <c r="J26" s="1" t="s">
        <v>73</v>
      </c>
      <c r="K26" s="1"/>
      <c r="L26" s="1"/>
      <c r="M26" s="28"/>
      <c r="N26" s="28"/>
      <c r="O26" s="28"/>
      <c r="P26" s="28"/>
      <c r="Q26" s="28"/>
      <c r="R26" s="28"/>
      <c r="S26" s="28"/>
      <c r="T26" s="28"/>
      <c r="U26" s="28"/>
      <c r="V26" s="28"/>
      <c r="W26" s="28"/>
      <c r="X26" s="28"/>
    </row>
    <row r="27" spans="1:24">
      <c r="A27" s="1"/>
      <c r="B27" s="1" t="s">
        <v>30</v>
      </c>
      <c r="C27" s="4">
        <f>C26/C7</f>
        <v>-0.11736526946107785</v>
      </c>
      <c r="D27" s="4">
        <f>D26/D7</f>
        <v>0.74014178112538764</v>
      </c>
      <c r="E27" s="4">
        <f t="shared" ref="E27:I27" si="11">E26/E7</f>
        <v>-7.9118931577947957E-2</v>
      </c>
      <c r="F27" s="4">
        <f t="shared" si="11"/>
        <v>-7.0641903194596387E-2</v>
      </c>
      <c r="G27" s="4">
        <f t="shared" si="11"/>
        <v>-6.4219911995087614E-2</v>
      </c>
      <c r="H27" s="4">
        <f t="shared" si="11"/>
        <v>-5.8381738177352378E-2</v>
      </c>
      <c r="I27" s="4">
        <f t="shared" si="11"/>
        <v>-5.3074307433956698E-2</v>
      </c>
      <c r="J27" s="1" t="s">
        <v>71</v>
      </c>
      <c r="K27" s="1"/>
      <c r="L27" s="1"/>
      <c r="M27" s="28" t="s">
        <v>35</v>
      </c>
      <c r="N27" s="28"/>
      <c r="O27" s="28"/>
      <c r="P27" s="28"/>
      <c r="Q27" s="28"/>
      <c r="R27" s="28"/>
      <c r="S27" s="28"/>
      <c r="T27" s="28"/>
      <c r="U27" s="28"/>
      <c r="V27" s="28"/>
      <c r="W27" s="28"/>
      <c r="X27" s="28"/>
    </row>
    <row r="28" spans="1:24">
      <c r="A28" s="1"/>
      <c r="B28" s="1"/>
      <c r="C28" s="1"/>
      <c r="D28" s="1"/>
      <c r="E28" s="1"/>
      <c r="F28" s="1"/>
      <c r="G28" s="1"/>
      <c r="H28" s="1"/>
      <c r="I28" s="1"/>
      <c r="J28" s="1"/>
      <c r="K28" s="1"/>
      <c r="L28" s="1"/>
      <c r="M28" s="28"/>
      <c r="N28" s="28"/>
      <c r="O28" s="28"/>
      <c r="P28" s="28"/>
      <c r="Q28" s="28"/>
      <c r="R28" s="28"/>
      <c r="S28" s="28"/>
      <c r="T28" s="28"/>
      <c r="U28" s="28"/>
      <c r="V28" s="28"/>
      <c r="W28" s="28"/>
      <c r="X28" s="28"/>
    </row>
    <row r="29" spans="1:24" ht="17" thickBot="1">
      <c r="A29" s="1"/>
      <c r="B29" s="1"/>
      <c r="C29" s="1"/>
      <c r="D29" s="1"/>
      <c r="E29" s="1"/>
      <c r="F29" s="1"/>
      <c r="G29" s="1"/>
      <c r="H29" s="1"/>
      <c r="I29" s="1"/>
      <c r="J29" s="1"/>
      <c r="K29" s="1"/>
      <c r="L29" s="1"/>
      <c r="M29" s="28"/>
      <c r="N29" s="28"/>
      <c r="O29" s="28"/>
      <c r="P29" s="28"/>
      <c r="Q29" s="28"/>
      <c r="R29" s="28"/>
      <c r="S29" s="28"/>
      <c r="T29" s="28"/>
      <c r="U29" s="28"/>
      <c r="V29" s="28"/>
      <c r="W29" s="28"/>
      <c r="X29" s="28"/>
    </row>
    <row r="30" spans="1:24">
      <c r="A30" s="1"/>
      <c r="B30" s="51" t="s">
        <v>36</v>
      </c>
      <c r="C30" s="52"/>
      <c r="D30" s="52">
        <f t="shared" ref="D30" si="12">D18+D20-D23-D26</f>
        <v>-7038.34</v>
      </c>
      <c r="E30" s="52">
        <f>E18+E20-E23-E26</f>
        <v>-988.35200000000032</v>
      </c>
      <c r="F30" s="52">
        <f t="shared" ref="F30:I30" si="13">F18+F20-F23-F26</f>
        <v>798.56051199999979</v>
      </c>
      <c r="G30" s="52">
        <f t="shared" si="13"/>
        <v>1305.5613952000001</v>
      </c>
      <c r="H30" s="52">
        <f t="shared" si="13"/>
        <v>1498.8893977600005</v>
      </c>
      <c r="I30" s="53">
        <f t="shared" si="13"/>
        <v>1608.7783375360004</v>
      </c>
      <c r="J30" s="1"/>
      <c r="K30" s="1"/>
      <c r="L30" s="1"/>
      <c r="M30" s="28"/>
      <c r="N30" s="28"/>
      <c r="O30" s="28"/>
      <c r="P30" s="28"/>
      <c r="Q30" s="28"/>
      <c r="R30" s="28"/>
      <c r="S30" s="28"/>
      <c r="T30" s="28"/>
      <c r="U30" s="28"/>
      <c r="V30" s="28"/>
      <c r="W30" s="28"/>
      <c r="X30" s="28"/>
    </row>
    <row r="31" spans="1:24" ht="17" thickBot="1">
      <c r="A31" s="1"/>
      <c r="B31" s="54" t="s">
        <v>59</v>
      </c>
      <c r="C31" s="55"/>
      <c r="D31" s="55"/>
      <c r="E31" s="55">
        <f>E30/(1+M31)^E2</f>
        <v>-896.54571843251108</v>
      </c>
      <c r="F31" s="55">
        <f>F30/(1+M31)^F2</f>
        <v>657.0969053401891</v>
      </c>
      <c r="G31" s="55">
        <f>G30/(1+M31)^G2</f>
        <v>974.49515905253952</v>
      </c>
      <c r="H31" s="55">
        <f>H30/(1+M31)^H2</f>
        <v>1014.8755024371061</v>
      </c>
      <c r="I31" s="56">
        <f>I30/(1+M31)^I2</f>
        <v>988.0983793177237</v>
      </c>
      <c r="J31" s="1"/>
      <c r="K31" s="1"/>
      <c r="L31" s="1"/>
      <c r="M31" s="31">
        <v>0.1024</v>
      </c>
      <c r="N31" s="28" t="s">
        <v>69</v>
      </c>
      <c r="O31" s="28"/>
      <c r="P31" s="28"/>
      <c r="Q31" s="28"/>
      <c r="R31" s="28"/>
      <c r="S31" s="28"/>
      <c r="T31" s="28"/>
      <c r="U31" s="28"/>
      <c r="V31" s="28"/>
      <c r="W31" s="28"/>
      <c r="X31" s="28"/>
    </row>
    <row r="32" spans="1:24" ht="17" thickBot="1">
      <c r="A32" s="1"/>
      <c r="B32" s="1"/>
      <c r="C32" s="1"/>
      <c r="D32" s="1"/>
      <c r="E32" s="1"/>
      <c r="F32" s="1"/>
      <c r="G32" s="1"/>
      <c r="H32" s="1"/>
      <c r="I32" s="1"/>
      <c r="J32" s="1"/>
      <c r="K32" s="1"/>
      <c r="L32" s="1"/>
      <c r="M32" s="28" t="s">
        <v>68</v>
      </c>
      <c r="N32" s="28"/>
      <c r="O32" s="28"/>
      <c r="P32" s="28"/>
      <c r="Q32" s="28"/>
      <c r="R32" s="28"/>
      <c r="S32" s="28"/>
      <c r="T32" s="28"/>
      <c r="U32" s="28"/>
      <c r="V32" s="28"/>
      <c r="W32" s="28"/>
      <c r="X32" s="28"/>
    </row>
    <row r="33" spans="1:24">
      <c r="A33" s="1"/>
      <c r="B33" s="13" t="s">
        <v>81</v>
      </c>
      <c r="C33" s="1"/>
      <c r="D33" s="1"/>
      <c r="E33" s="1"/>
      <c r="F33" s="7" t="s">
        <v>65</v>
      </c>
      <c r="G33" s="8"/>
      <c r="H33" s="8"/>
      <c r="I33" s="9">
        <f>I30*(1-0.17)*(1+5%)/(M31-5%)</f>
        <v>26756.685518370694</v>
      </c>
      <c r="J33" s="1"/>
      <c r="K33" s="1"/>
      <c r="L33" s="1"/>
      <c r="M33" s="28" t="s">
        <v>80</v>
      </c>
      <c r="N33" s="28"/>
      <c r="O33" s="28"/>
      <c r="P33" s="28"/>
      <c r="Q33" s="28"/>
      <c r="R33" s="28"/>
      <c r="S33" s="28"/>
      <c r="T33" s="28"/>
      <c r="U33" s="28"/>
      <c r="V33" s="28"/>
      <c r="W33" s="28"/>
      <c r="X33" s="28"/>
    </row>
    <row r="34" spans="1:24" ht="17" thickBot="1">
      <c r="A34" s="1"/>
      <c r="B34" s="13" t="s">
        <v>67</v>
      </c>
      <c r="C34" s="1"/>
      <c r="D34" s="1"/>
      <c r="E34" s="1"/>
      <c r="F34" s="10" t="s">
        <v>66</v>
      </c>
      <c r="G34" s="11"/>
      <c r="H34" s="11"/>
      <c r="I34" s="12">
        <f>I33/(1+M31)^I2</f>
        <v>16433.735449912139</v>
      </c>
      <c r="J34" s="1"/>
      <c r="K34" s="1"/>
      <c r="L34" s="1"/>
      <c r="M34" s="1"/>
      <c r="N34" s="1"/>
      <c r="O34" s="1"/>
      <c r="P34" s="1"/>
      <c r="Q34" s="1"/>
      <c r="R34" s="1"/>
      <c r="S34" s="1"/>
      <c r="T34" s="1"/>
      <c r="U34" s="1"/>
      <c r="V34" s="1"/>
      <c r="W34" s="1"/>
      <c r="X34" s="1"/>
    </row>
    <row r="35" spans="1:24">
      <c r="A35" s="1"/>
      <c r="B35" s="1"/>
      <c r="C35" s="1"/>
      <c r="D35" s="1"/>
      <c r="E35" s="1"/>
      <c r="F35" s="1"/>
      <c r="G35" s="1"/>
      <c r="H35" s="1"/>
      <c r="I35" s="1"/>
      <c r="J35" s="1"/>
      <c r="K35" s="1"/>
      <c r="L35" s="1"/>
      <c r="M35" s="1"/>
      <c r="N35" s="1"/>
      <c r="O35" s="1"/>
      <c r="P35" s="1"/>
      <c r="Q35" s="1"/>
      <c r="R35" s="1"/>
      <c r="S35" s="1"/>
      <c r="T35" s="1"/>
      <c r="U35" s="1"/>
      <c r="V35" s="1"/>
      <c r="W35" s="1"/>
      <c r="X35" s="1"/>
    </row>
    <row r="36" spans="1:24">
      <c r="A36" s="1"/>
      <c r="B36" s="1"/>
      <c r="C36" s="1"/>
      <c r="D36" s="1"/>
      <c r="E36" s="1"/>
      <c r="F36" s="1"/>
      <c r="G36" s="2"/>
      <c r="H36" s="2"/>
      <c r="I36" s="2"/>
      <c r="J36" s="2"/>
      <c r="K36" s="57"/>
      <c r="L36" s="1"/>
      <c r="M36" s="1"/>
      <c r="N36" s="1"/>
      <c r="O36" s="1"/>
      <c r="P36" s="1"/>
      <c r="Q36" s="1"/>
      <c r="R36" s="1"/>
      <c r="S36" s="1"/>
      <c r="T36" s="1"/>
      <c r="U36" s="1"/>
      <c r="V36" s="1"/>
      <c r="W36" s="1"/>
      <c r="X36" s="1"/>
    </row>
    <row r="37" spans="1:24" ht="20">
      <c r="A37" s="1"/>
      <c r="B37" s="1"/>
      <c r="C37" s="1"/>
      <c r="D37" s="1"/>
      <c r="E37" s="1"/>
      <c r="F37" s="1"/>
      <c r="G37" s="37"/>
      <c r="H37" s="25" t="s">
        <v>60</v>
      </c>
      <c r="I37" s="16">
        <f>E31+F31+G31+H31+I31+I34</f>
        <v>19171.755677627189</v>
      </c>
      <c r="J37" s="2" t="s">
        <v>73</v>
      </c>
      <c r="K37" s="57"/>
      <c r="L37" s="1"/>
      <c r="M37" s="1"/>
      <c r="N37" s="1"/>
      <c r="O37" s="1"/>
      <c r="P37" s="1"/>
      <c r="Q37" s="1"/>
      <c r="R37" s="1"/>
      <c r="S37" s="1"/>
      <c r="T37" s="1"/>
      <c r="U37" s="1"/>
      <c r="V37" s="1"/>
      <c r="W37" s="1"/>
      <c r="X37" s="1"/>
    </row>
    <row r="38" spans="1:24" ht="20">
      <c r="A38" s="1"/>
      <c r="B38" s="1"/>
      <c r="C38" s="1"/>
      <c r="D38" s="1"/>
      <c r="E38" s="1"/>
      <c r="F38" s="1"/>
      <c r="G38" s="38" t="s">
        <v>75</v>
      </c>
      <c r="H38" s="26" t="s">
        <v>61</v>
      </c>
      <c r="I38" s="16">
        <v>3516</v>
      </c>
      <c r="J38" s="2" t="s">
        <v>73</v>
      </c>
      <c r="K38" s="57"/>
      <c r="L38" s="1"/>
      <c r="M38" s="1"/>
      <c r="N38" s="1"/>
      <c r="O38" s="1"/>
      <c r="P38" s="1"/>
      <c r="Q38" s="1"/>
      <c r="R38" s="1"/>
      <c r="S38" s="1"/>
      <c r="T38" s="1"/>
      <c r="U38" s="1"/>
      <c r="V38" s="1"/>
      <c r="W38" s="1"/>
      <c r="X38" s="1"/>
    </row>
    <row r="39" spans="1:24" ht="20">
      <c r="A39" s="1"/>
      <c r="B39" s="1"/>
      <c r="C39" s="1"/>
      <c r="D39" s="1"/>
      <c r="E39" s="1"/>
      <c r="F39" s="1"/>
      <c r="G39" s="38" t="s">
        <v>76</v>
      </c>
      <c r="H39" s="27" t="s">
        <v>62</v>
      </c>
      <c r="I39" s="16">
        <v>3556</v>
      </c>
      <c r="J39" s="2" t="s">
        <v>73</v>
      </c>
      <c r="K39" s="57"/>
      <c r="L39" s="1"/>
      <c r="M39" s="1"/>
      <c r="N39" s="1"/>
      <c r="O39" s="1"/>
      <c r="P39" s="1"/>
      <c r="Q39" s="1"/>
      <c r="R39" s="1"/>
      <c r="S39" s="1"/>
      <c r="T39" s="1"/>
      <c r="U39" s="1"/>
      <c r="V39" s="1"/>
      <c r="W39" s="1"/>
      <c r="X39" s="1"/>
    </row>
    <row r="40" spans="1:24" ht="20">
      <c r="A40" s="1"/>
      <c r="B40" s="1"/>
      <c r="C40" s="1"/>
      <c r="D40" s="1"/>
      <c r="E40" s="1"/>
      <c r="F40" s="1"/>
      <c r="G40" s="38"/>
      <c r="H40" s="25"/>
      <c r="I40" s="16"/>
      <c r="J40" s="2"/>
      <c r="K40" s="57"/>
      <c r="L40" s="1"/>
      <c r="M40" s="1"/>
      <c r="N40" s="1"/>
      <c r="O40" s="1"/>
      <c r="P40" s="1"/>
      <c r="Q40" s="1"/>
      <c r="R40" s="1"/>
      <c r="S40" s="1"/>
      <c r="T40" s="1"/>
      <c r="U40" s="1"/>
      <c r="V40" s="1"/>
      <c r="W40" s="1"/>
      <c r="X40" s="1"/>
    </row>
    <row r="41" spans="1:24" ht="20">
      <c r="A41" s="1"/>
      <c r="B41" s="1"/>
      <c r="C41" s="1"/>
      <c r="D41" s="1"/>
      <c r="E41" s="1"/>
      <c r="F41" s="1"/>
      <c r="G41" s="37"/>
      <c r="H41" s="35" t="s">
        <v>63</v>
      </c>
      <c r="I41" s="36">
        <f>I37+I38-I39</f>
        <v>19131.755677627189</v>
      </c>
      <c r="J41" s="2"/>
      <c r="K41" s="57"/>
      <c r="L41" s="1"/>
      <c r="M41" s="1"/>
      <c r="N41" s="1"/>
      <c r="O41" s="1"/>
      <c r="P41" s="1"/>
      <c r="Q41" s="1"/>
      <c r="R41" s="1"/>
      <c r="S41" s="1"/>
      <c r="T41" s="1"/>
      <c r="U41" s="1"/>
      <c r="V41" s="1"/>
      <c r="W41" s="1"/>
      <c r="X41" s="1"/>
    </row>
    <row r="42" spans="1:24" ht="20">
      <c r="A42" s="1"/>
      <c r="B42" s="1"/>
      <c r="C42" s="1"/>
      <c r="D42" s="1"/>
      <c r="E42" s="1"/>
      <c r="F42" s="1"/>
      <c r="G42" s="37"/>
      <c r="H42" s="25"/>
      <c r="I42" s="16"/>
      <c r="J42" s="2"/>
      <c r="K42" s="57"/>
      <c r="L42" s="1"/>
      <c r="M42" s="1"/>
      <c r="N42" s="1"/>
      <c r="O42" s="1"/>
      <c r="P42" s="1"/>
      <c r="Q42" s="1"/>
      <c r="R42" s="1"/>
      <c r="S42" s="1"/>
      <c r="T42" s="1"/>
      <c r="U42" s="1"/>
      <c r="V42" s="1"/>
      <c r="W42" s="1"/>
      <c r="X42" s="1"/>
    </row>
    <row r="43" spans="1:24" ht="27">
      <c r="A43" s="1"/>
      <c r="B43" s="1"/>
      <c r="C43" s="1"/>
      <c r="D43" s="1"/>
      <c r="E43" s="1"/>
      <c r="F43" s="1"/>
      <c r="G43" s="37"/>
      <c r="H43" s="58" t="s">
        <v>64</v>
      </c>
      <c r="I43" s="59">
        <f>I41/441</f>
        <v>43.382665935662558</v>
      </c>
      <c r="J43" s="2"/>
      <c r="K43" s="57"/>
      <c r="L43" s="1"/>
      <c r="M43" s="1"/>
      <c r="N43" s="1"/>
      <c r="O43" s="1"/>
      <c r="P43" s="1"/>
      <c r="Q43" s="1"/>
      <c r="R43" s="1"/>
      <c r="S43" s="1"/>
      <c r="T43" s="1"/>
      <c r="U43" s="1"/>
      <c r="V43" s="1"/>
      <c r="W43" s="1"/>
      <c r="X43" s="1"/>
    </row>
    <row r="44" spans="1:24">
      <c r="A44" s="1"/>
      <c r="B44" s="1"/>
      <c r="C44" s="1"/>
      <c r="D44" s="1"/>
      <c r="E44" s="1"/>
      <c r="F44" s="1"/>
      <c r="G44" s="2"/>
      <c r="H44" s="2"/>
      <c r="I44" s="2"/>
      <c r="J44" s="2"/>
      <c r="K44" s="57"/>
      <c r="L44" s="1"/>
      <c r="M44" s="1"/>
      <c r="N44" s="1"/>
      <c r="O44" s="1"/>
      <c r="P44" s="1"/>
      <c r="Q44" s="1"/>
      <c r="R44" s="1"/>
      <c r="S44" s="1"/>
      <c r="T44" s="1"/>
      <c r="U44" s="1"/>
      <c r="V44" s="1"/>
      <c r="W44" s="1"/>
      <c r="X44" s="1"/>
    </row>
    <row r="45" spans="1:24">
      <c r="A45" s="1"/>
      <c r="B45" s="1"/>
      <c r="C45" s="1"/>
      <c r="D45" s="1"/>
      <c r="E45" s="1"/>
      <c r="F45" s="1"/>
      <c r="G45" s="1"/>
      <c r="H45" s="1"/>
      <c r="I45" s="1"/>
      <c r="J45" s="1"/>
      <c r="K45" s="1"/>
      <c r="L45" s="1"/>
      <c r="M45" s="1"/>
      <c r="N45" s="1"/>
      <c r="O45" s="1"/>
      <c r="P45" s="1"/>
      <c r="Q45" s="1"/>
      <c r="R45" s="1"/>
      <c r="S45" s="1"/>
      <c r="T45" s="1"/>
      <c r="U45" s="1"/>
      <c r="V45" s="1"/>
      <c r="W45" s="1"/>
      <c r="X45" s="1"/>
    </row>
    <row r="46" spans="1:24">
      <c r="A46" s="1"/>
      <c r="B46" s="1"/>
      <c r="C46" s="1"/>
      <c r="D46" s="1"/>
      <c r="E46" s="1"/>
      <c r="F46" s="1"/>
      <c r="G46" s="1"/>
      <c r="H46" s="1"/>
      <c r="I46" s="1"/>
      <c r="J46" s="1"/>
      <c r="K46" s="1"/>
      <c r="L46" s="1"/>
      <c r="M46" s="1"/>
      <c r="N46" s="1"/>
      <c r="O46" s="1"/>
      <c r="P46" s="1"/>
      <c r="Q46" s="1"/>
      <c r="R46" s="1"/>
      <c r="S46" s="1"/>
      <c r="T46" s="1"/>
      <c r="U46" s="1"/>
      <c r="V46" s="1"/>
      <c r="W46" s="1"/>
      <c r="X46" s="1"/>
    </row>
    <row r="47" spans="1:24">
      <c r="A47" s="1"/>
      <c r="B47" s="1"/>
      <c r="C47" s="1"/>
      <c r="D47" s="1"/>
      <c r="E47" s="1"/>
      <c r="F47" s="1"/>
      <c r="G47" s="1"/>
      <c r="H47" s="1"/>
      <c r="I47" s="1"/>
      <c r="J47" s="1"/>
      <c r="K47" s="1"/>
      <c r="L47" s="1"/>
      <c r="M47" s="1"/>
      <c r="N47" s="1"/>
      <c r="O47" s="1"/>
      <c r="P47" s="1"/>
      <c r="Q47" s="1"/>
      <c r="R47" s="1"/>
      <c r="S47" s="1"/>
      <c r="T47" s="1"/>
      <c r="U47" s="1"/>
      <c r="V47" s="1"/>
      <c r="W47" s="1"/>
      <c r="X47" s="1"/>
    </row>
    <row r="48" spans="1:24">
      <c r="A48" s="1"/>
      <c r="B48" s="1"/>
      <c r="C48" s="1"/>
      <c r="D48" s="1"/>
      <c r="E48" s="1"/>
      <c r="F48" s="1"/>
      <c r="G48" s="1"/>
      <c r="H48" s="1"/>
      <c r="I48" s="1"/>
      <c r="J48" s="1"/>
      <c r="K48" s="1"/>
      <c r="L48" s="1"/>
      <c r="M48" s="1"/>
      <c r="N48" s="1"/>
      <c r="O48" s="1"/>
      <c r="P48" s="1"/>
      <c r="Q48" s="1"/>
      <c r="R48" s="1"/>
      <c r="S48" s="1"/>
      <c r="T48" s="1"/>
      <c r="U48" s="1"/>
      <c r="V48" s="1"/>
      <c r="W48" s="1"/>
      <c r="X48" s="1"/>
    </row>
    <row r="49" spans="1:24">
      <c r="A49" s="1"/>
      <c r="B49" s="1"/>
      <c r="C49" s="1"/>
      <c r="D49" s="1"/>
      <c r="E49" s="1"/>
      <c r="F49" s="1"/>
      <c r="G49" s="1"/>
      <c r="H49" s="1"/>
      <c r="I49" s="1"/>
      <c r="J49" s="1"/>
      <c r="K49" s="1"/>
      <c r="L49" s="1"/>
      <c r="M49" s="1"/>
      <c r="N49" s="1"/>
      <c r="O49" s="1"/>
      <c r="P49" s="1"/>
      <c r="Q49" s="1"/>
      <c r="R49" s="1"/>
      <c r="S49" s="1"/>
      <c r="T49" s="1"/>
      <c r="U49" s="1"/>
      <c r="V49" s="1"/>
      <c r="W49" s="1"/>
      <c r="X49" s="1"/>
    </row>
    <row r="50" spans="1:24">
      <c r="A50" s="1"/>
      <c r="B50" s="1"/>
      <c r="C50" s="1"/>
      <c r="D50" s="1"/>
      <c r="E50" s="1"/>
      <c r="F50" s="1"/>
      <c r="G50" s="1"/>
      <c r="H50" s="1"/>
      <c r="I50" s="1"/>
      <c r="J50" s="1"/>
      <c r="K50" s="1"/>
      <c r="L50" s="1"/>
      <c r="M50" s="1"/>
      <c r="N50" s="1"/>
      <c r="O50" s="1"/>
      <c r="P50" s="1"/>
      <c r="Q50" s="1"/>
      <c r="R50" s="1"/>
      <c r="S50" s="1"/>
      <c r="T50" s="1"/>
      <c r="U50" s="1"/>
      <c r="V50" s="1"/>
      <c r="W50" s="1"/>
      <c r="X50" s="1"/>
    </row>
    <row r="51" spans="1:24">
      <c r="A51" s="1"/>
      <c r="B51" s="1"/>
      <c r="C51" s="1"/>
      <c r="D51" s="1"/>
      <c r="E51" s="1"/>
      <c r="F51" s="1"/>
      <c r="G51" s="1"/>
      <c r="H51" s="1"/>
      <c r="I51" s="1"/>
      <c r="J51" s="1"/>
      <c r="K51" s="1"/>
      <c r="L51" s="1"/>
      <c r="M51" s="1"/>
      <c r="N51" s="1"/>
      <c r="O51" s="1"/>
      <c r="P51" s="1"/>
      <c r="Q51" s="1"/>
      <c r="R51" s="1"/>
      <c r="S51" s="1"/>
      <c r="T51" s="1"/>
      <c r="U51" s="1"/>
      <c r="V51" s="1"/>
      <c r="W51" s="1"/>
      <c r="X51" s="1"/>
    </row>
    <row r="52" spans="1:24">
      <c r="A52" s="1"/>
      <c r="B52" s="1"/>
      <c r="C52" s="1"/>
      <c r="D52" s="1"/>
      <c r="E52" s="1"/>
      <c r="F52" s="1"/>
      <c r="G52" s="1"/>
      <c r="H52" s="1"/>
      <c r="I52" s="1"/>
      <c r="J52" s="1"/>
      <c r="K52" s="1"/>
      <c r="L52" s="1"/>
      <c r="M52" s="1"/>
      <c r="N52" s="1"/>
      <c r="O52" s="1"/>
      <c r="P52" s="1"/>
      <c r="Q52" s="1"/>
      <c r="R52" s="1"/>
      <c r="S52" s="1"/>
      <c r="T52" s="1"/>
      <c r="U52" s="1"/>
      <c r="V52" s="1"/>
      <c r="W52" s="1"/>
      <c r="X52" s="1"/>
    </row>
    <row r="53" spans="1:24">
      <c r="A53" s="1"/>
      <c r="B53" s="1"/>
      <c r="C53" s="1"/>
      <c r="D53" s="1"/>
      <c r="E53" s="1"/>
      <c r="F53" s="1"/>
      <c r="G53" s="1"/>
      <c r="H53" s="1"/>
      <c r="I53" s="1"/>
      <c r="J53" s="1"/>
      <c r="K53" s="1"/>
      <c r="L53" s="1"/>
      <c r="M53" s="1"/>
      <c r="N53" s="1"/>
      <c r="O53" s="1"/>
      <c r="P53" s="1"/>
      <c r="Q53" s="1"/>
      <c r="R53" s="1"/>
      <c r="S53" s="1"/>
      <c r="T53" s="1"/>
      <c r="U53" s="1"/>
      <c r="V53" s="1"/>
      <c r="W53" s="1"/>
      <c r="X53" s="1"/>
    </row>
    <row r="54" spans="1:24">
      <c r="A54" s="1"/>
      <c r="B54" s="1"/>
      <c r="C54" s="1"/>
      <c r="D54" s="1"/>
      <c r="E54" s="1"/>
      <c r="F54" s="1"/>
      <c r="G54" s="1"/>
      <c r="H54" s="1"/>
      <c r="I54" s="1"/>
      <c r="J54" s="1"/>
      <c r="K54" s="1"/>
      <c r="L54" s="1"/>
      <c r="M54" s="1"/>
      <c r="N54" s="1"/>
      <c r="O54" s="1"/>
      <c r="P54" s="1"/>
      <c r="Q54" s="1"/>
      <c r="R54" s="1"/>
      <c r="S54" s="1"/>
      <c r="T54" s="1"/>
      <c r="U54" s="1"/>
      <c r="V54" s="1"/>
      <c r="W54" s="1"/>
      <c r="X54" s="1"/>
    </row>
    <row r="55" spans="1:24">
      <c r="A55" s="1"/>
      <c r="B55" s="1"/>
      <c r="C55" s="1"/>
      <c r="D55" s="1"/>
      <c r="E55" s="1"/>
      <c r="F55" s="1"/>
      <c r="G55" s="1"/>
      <c r="H55" s="1"/>
      <c r="I55" s="1"/>
      <c r="J55" s="1"/>
      <c r="K55" s="1"/>
      <c r="L55" s="1"/>
      <c r="M55" s="1"/>
      <c r="N55" s="1"/>
      <c r="O55" s="1"/>
      <c r="P55" s="1"/>
      <c r="Q55" s="1"/>
      <c r="R55" s="1"/>
      <c r="S55" s="1"/>
      <c r="T55" s="1"/>
      <c r="U55" s="1"/>
      <c r="V55" s="1"/>
      <c r="W55" s="1"/>
      <c r="X55" s="1"/>
    </row>
    <row r="56" spans="1:24">
      <c r="A56" s="1"/>
      <c r="B56" s="1"/>
      <c r="C56" s="1"/>
      <c r="D56" s="1"/>
      <c r="E56" s="1"/>
      <c r="F56" s="1"/>
      <c r="G56" s="1"/>
      <c r="H56" s="1"/>
      <c r="I56" s="1"/>
      <c r="J56" s="1"/>
      <c r="K56" s="1"/>
      <c r="L56" s="1"/>
      <c r="M56" s="1"/>
      <c r="N56" s="1"/>
      <c r="O56" s="1"/>
      <c r="P56" s="1"/>
      <c r="Q56" s="1"/>
      <c r="R56" s="1"/>
      <c r="S56" s="1"/>
      <c r="T56" s="1"/>
      <c r="U56" s="1"/>
      <c r="V56" s="1"/>
      <c r="W56" s="1"/>
      <c r="X56" s="1"/>
    </row>
    <row r="57" spans="1:24">
      <c r="A57" s="1"/>
      <c r="B57" s="1"/>
      <c r="C57" s="1"/>
      <c r="D57" s="1"/>
      <c r="E57" s="1"/>
      <c r="F57" s="1"/>
      <c r="G57" s="1"/>
      <c r="H57" s="1"/>
      <c r="I57" s="1"/>
      <c r="J57" s="1"/>
      <c r="K57" s="1"/>
      <c r="L57" s="1"/>
      <c r="M57" s="1"/>
      <c r="N57" s="1"/>
      <c r="O57" s="1"/>
      <c r="P57" s="1"/>
      <c r="Q57" s="1"/>
      <c r="R57" s="1"/>
      <c r="S57" s="1"/>
      <c r="T57" s="1"/>
      <c r="U57" s="1"/>
      <c r="V57" s="1"/>
      <c r="W57" s="1"/>
      <c r="X57" s="1"/>
    </row>
    <row r="58" spans="1:24">
      <c r="A58" s="1"/>
      <c r="B58" s="1"/>
      <c r="C58" s="1"/>
      <c r="D58" s="1"/>
      <c r="E58" s="1"/>
      <c r="F58" s="1"/>
      <c r="G58" s="1"/>
      <c r="H58" s="1"/>
      <c r="I58" s="1"/>
      <c r="J58" s="1"/>
      <c r="K58" s="1"/>
      <c r="L58" s="1"/>
      <c r="M58" s="1"/>
      <c r="N58" s="1"/>
      <c r="O58" s="1"/>
      <c r="P58" s="1"/>
      <c r="Q58" s="1"/>
      <c r="R58" s="1"/>
      <c r="S58" s="1"/>
      <c r="T58" s="1"/>
      <c r="U58" s="1"/>
      <c r="V58" s="1"/>
      <c r="W58" s="1"/>
      <c r="X58" s="1"/>
    </row>
    <row r="59" spans="1:24">
      <c r="A59" s="1"/>
      <c r="B59" s="1"/>
      <c r="C59" s="1"/>
      <c r="D59" s="1"/>
      <c r="E59" s="1"/>
      <c r="F59" s="1"/>
      <c r="G59" s="1"/>
      <c r="H59" s="1"/>
      <c r="I59" s="1"/>
      <c r="J59" s="1"/>
      <c r="K59" s="1"/>
      <c r="L59" s="1"/>
      <c r="M59" s="1"/>
      <c r="N59" s="1"/>
      <c r="O59" s="1"/>
      <c r="P59" s="1"/>
      <c r="Q59" s="1"/>
      <c r="R59" s="1"/>
      <c r="S59" s="1"/>
      <c r="T59" s="1"/>
      <c r="U59" s="1"/>
      <c r="V59" s="1"/>
      <c r="W59" s="1"/>
      <c r="X59" s="1"/>
    </row>
    <row r="60" spans="1:24">
      <c r="A60" s="1"/>
      <c r="B60" s="1"/>
      <c r="C60" s="1"/>
      <c r="D60" s="1"/>
      <c r="E60" s="1"/>
      <c r="F60" s="1"/>
      <c r="G60" s="1"/>
      <c r="H60" s="1"/>
      <c r="I60" s="1"/>
      <c r="J60" s="1"/>
      <c r="K60" s="1"/>
      <c r="L60" s="1"/>
      <c r="M60" s="1"/>
      <c r="N60" s="1"/>
      <c r="O60" s="1"/>
      <c r="P60" s="1"/>
      <c r="Q60" s="1"/>
      <c r="R60" s="1"/>
      <c r="S60" s="1"/>
      <c r="T60" s="1"/>
      <c r="U60" s="1"/>
      <c r="V60" s="1"/>
      <c r="W60" s="1"/>
      <c r="X60" s="1"/>
    </row>
    <row r="61" spans="1:24">
      <c r="A61" s="1"/>
      <c r="B61" s="1"/>
      <c r="C61" s="1"/>
      <c r="D61" s="1"/>
      <c r="E61" s="1"/>
      <c r="F61" s="1"/>
      <c r="G61" s="1"/>
      <c r="H61" s="1"/>
      <c r="I61" s="1"/>
      <c r="J61" s="1"/>
      <c r="K61" s="1"/>
      <c r="L61" s="1"/>
      <c r="M61" s="1"/>
      <c r="N61" s="1"/>
      <c r="O61" s="1"/>
      <c r="P61" s="1"/>
      <c r="Q61" s="1"/>
      <c r="R61" s="1"/>
      <c r="S61" s="1"/>
      <c r="T61" s="1"/>
      <c r="U61" s="1"/>
      <c r="V61" s="1"/>
      <c r="W61" s="1"/>
      <c r="X61" s="1"/>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18058-A4A2-414E-820A-AC1BF39DE064}">
  <dimension ref="A1:S35"/>
  <sheetViews>
    <sheetView tabSelected="1" zoomScale="75" workbookViewId="0">
      <selection activeCell="K31" sqref="K31"/>
    </sheetView>
  </sheetViews>
  <sheetFormatPr baseColWidth="10" defaultRowHeight="16"/>
  <cols>
    <col min="2" max="2" width="22" customWidth="1"/>
    <col min="3" max="3" width="16.1640625" customWidth="1"/>
    <col min="7" max="7" width="1.33203125" customWidth="1"/>
    <col min="8" max="8" width="3.1640625" customWidth="1"/>
  </cols>
  <sheetData>
    <row r="1" spans="1:19">
      <c r="A1" s="1"/>
      <c r="B1" s="1"/>
      <c r="C1" s="1"/>
      <c r="D1" s="1"/>
      <c r="E1" s="1"/>
      <c r="F1" s="1"/>
      <c r="G1" s="1"/>
      <c r="H1" s="1"/>
      <c r="I1" s="1"/>
      <c r="J1" s="1"/>
      <c r="K1" s="1"/>
      <c r="L1" s="1"/>
      <c r="M1" s="1"/>
      <c r="N1" s="1"/>
      <c r="O1" s="1"/>
      <c r="P1" s="1"/>
      <c r="Q1" s="1"/>
      <c r="R1" s="1"/>
      <c r="S1" s="1"/>
    </row>
    <row r="2" spans="1:19" ht="27">
      <c r="A2" s="73" t="s">
        <v>84</v>
      </c>
      <c r="B2" s="44" t="s">
        <v>37</v>
      </c>
      <c r="C2" s="14"/>
      <c r="D2" s="14"/>
      <c r="E2" s="14"/>
      <c r="F2" s="14"/>
      <c r="G2" s="14"/>
      <c r="H2" s="14"/>
      <c r="I2" s="14"/>
      <c r="J2" s="14"/>
      <c r="K2" s="14"/>
      <c r="L2" s="14"/>
      <c r="M2" s="14"/>
      <c r="N2" s="14"/>
      <c r="O2" s="14"/>
      <c r="P2" s="14"/>
      <c r="Q2" s="1"/>
      <c r="R2" s="1"/>
      <c r="S2" s="1"/>
    </row>
    <row r="3" spans="1:19" ht="20">
      <c r="A3" s="1"/>
      <c r="B3" s="57"/>
      <c r="C3" s="57"/>
      <c r="D3" s="57"/>
      <c r="E3" s="57"/>
      <c r="F3" s="57"/>
      <c r="G3" s="57"/>
      <c r="H3" s="57"/>
      <c r="I3" s="57"/>
      <c r="J3" s="57"/>
      <c r="K3" s="14"/>
      <c r="L3" s="14"/>
      <c r="M3" s="14"/>
      <c r="N3" s="14"/>
      <c r="O3" s="14"/>
      <c r="P3" s="14"/>
      <c r="Q3" s="1"/>
      <c r="R3" s="1"/>
      <c r="S3" s="1"/>
    </row>
    <row r="4" spans="1:19" ht="20">
      <c r="A4" s="1"/>
      <c r="B4" s="57"/>
      <c r="C4" s="57"/>
      <c r="D4" s="57"/>
      <c r="E4" s="57"/>
      <c r="F4" s="57"/>
      <c r="G4" s="57"/>
      <c r="H4" s="57"/>
      <c r="I4" s="57"/>
      <c r="J4" s="57"/>
      <c r="K4" s="14"/>
      <c r="L4" s="14"/>
      <c r="M4" s="14"/>
      <c r="N4" s="14"/>
      <c r="O4" s="14"/>
      <c r="P4" s="14"/>
      <c r="Q4" s="1"/>
      <c r="R4" s="1"/>
      <c r="S4" s="1"/>
    </row>
    <row r="5" spans="1:19" ht="21" thickBot="1">
      <c r="A5" s="1"/>
      <c r="B5" s="14"/>
      <c r="C5" s="14"/>
      <c r="D5" s="14"/>
      <c r="E5" s="14"/>
      <c r="F5" s="14"/>
      <c r="G5" s="14"/>
      <c r="H5" s="14"/>
      <c r="I5" s="14"/>
      <c r="J5" s="14"/>
      <c r="K5" s="14"/>
      <c r="L5" s="14"/>
      <c r="M5" s="14"/>
      <c r="N5" s="14"/>
      <c r="O5" s="14"/>
      <c r="P5" s="14"/>
      <c r="Q5" s="1"/>
      <c r="R5" s="1"/>
      <c r="S5" s="1"/>
    </row>
    <row r="6" spans="1:19" ht="20">
      <c r="A6" s="1"/>
      <c r="B6" s="41" t="s">
        <v>41</v>
      </c>
      <c r="C6" s="17">
        <v>5152</v>
      </c>
      <c r="D6" s="14" t="s">
        <v>72</v>
      </c>
      <c r="E6" s="14"/>
      <c r="F6" s="14"/>
      <c r="G6" s="14"/>
      <c r="H6" s="14"/>
      <c r="I6" s="14"/>
      <c r="J6" s="14"/>
      <c r="K6" s="14"/>
      <c r="L6" s="14"/>
      <c r="M6" s="14"/>
      <c r="N6" s="14"/>
      <c r="O6" s="14"/>
      <c r="P6" s="14"/>
      <c r="Q6" s="1"/>
      <c r="R6" s="1"/>
      <c r="S6" s="1"/>
    </row>
    <row r="7" spans="1:19" ht="20">
      <c r="A7" s="1"/>
      <c r="B7" s="42" t="s">
        <v>42</v>
      </c>
      <c r="C7" s="18">
        <v>3556</v>
      </c>
      <c r="D7" s="14" t="s">
        <v>72</v>
      </c>
      <c r="E7" s="14"/>
      <c r="F7" s="14"/>
      <c r="G7" s="14"/>
      <c r="H7" s="14"/>
      <c r="I7" s="14"/>
      <c r="J7" s="14"/>
      <c r="K7" s="14"/>
      <c r="L7" s="14"/>
      <c r="M7" s="14"/>
      <c r="N7" s="14"/>
      <c r="O7" s="14"/>
      <c r="P7" s="14"/>
      <c r="Q7" s="1"/>
      <c r="R7" s="1"/>
      <c r="S7" s="1"/>
    </row>
    <row r="8" spans="1:19" ht="20">
      <c r="A8" s="1"/>
      <c r="B8" s="42" t="s">
        <v>43</v>
      </c>
      <c r="C8" s="19">
        <f>C6/(C6+C7)</f>
        <v>0.59163987138263663</v>
      </c>
      <c r="D8" s="14"/>
      <c r="E8" s="14"/>
      <c r="F8" s="14"/>
      <c r="G8" s="14"/>
      <c r="H8" s="14"/>
      <c r="I8" s="14"/>
      <c r="J8" s="14"/>
      <c r="K8" s="14"/>
      <c r="L8" s="14"/>
      <c r="M8" s="14"/>
      <c r="N8" s="14"/>
      <c r="O8" s="14"/>
      <c r="P8" s="14"/>
      <c r="Q8" s="1"/>
      <c r="R8" s="1"/>
      <c r="S8" s="1"/>
    </row>
    <row r="9" spans="1:19" ht="21" thickBot="1">
      <c r="A9" s="1"/>
      <c r="B9" s="43" t="s">
        <v>44</v>
      </c>
      <c r="C9" s="20">
        <f>C7/(C6+C7)</f>
        <v>0.40836012861736337</v>
      </c>
      <c r="D9" s="14"/>
      <c r="E9" s="14"/>
      <c r="F9" s="14"/>
      <c r="G9" s="14"/>
      <c r="H9" s="14"/>
      <c r="I9" s="14"/>
      <c r="J9" s="14"/>
      <c r="K9" s="14"/>
      <c r="L9" s="14"/>
      <c r="M9" s="14"/>
      <c r="N9" s="14"/>
      <c r="O9" s="14"/>
      <c r="P9" s="14"/>
      <c r="Q9" s="1"/>
      <c r="R9" s="1"/>
      <c r="S9" s="1"/>
    </row>
    <row r="10" spans="1:19" ht="20">
      <c r="A10" s="1"/>
      <c r="B10" s="14"/>
      <c r="C10" s="14"/>
      <c r="D10" s="14"/>
      <c r="E10" s="14"/>
      <c r="F10" s="14"/>
      <c r="G10" s="14"/>
      <c r="H10" s="14"/>
      <c r="I10" s="14"/>
      <c r="J10" s="14"/>
      <c r="K10" s="14"/>
      <c r="L10" s="14"/>
      <c r="M10" s="14"/>
      <c r="N10" s="14"/>
      <c r="O10" s="14"/>
      <c r="P10" s="14"/>
      <c r="Q10" s="1"/>
      <c r="R10" s="1"/>
      <c r="S10" s="1"/>
    </row>
    <row r="11" spans="1:19" ht="20">
      <c r="A11" s="1"/>
      <c r="B11" s="14"/>
      <c r="C11" s="14"/>
      <c r="D11" s="14"/>
      <c r="E11" s="14"/>
      <c r="F11" s="14"/>
      <c r="G11" s="14"/>
      <c r="H11" s="14"/>
      <c r="I11" s="14"/>
      <c r="J11" s="14"/>
      <c r="K11" s="14"/>
      <c r="L11" s="14"/>
      <c r="M11" s="14"/>
      <c r="N11" s="14"/>
      <c r="O11" s="14"/>
      <c r="P11" s="14"/>
      <c r="Q11" s="1"/>
      <c r="R11" s="1"/>
      <c r="S11" s="1"/>
    </row>
    <row r="12" spans="1:19" ht="21" thickBot="1">
      <c r="A12" s="1"/>
      <c r="B12" s="14"/>
      <c r="C12" s="14"/>
      <c r="D12" s="14"/>
      <c r="E12" s="14"/>
      <c r="F12" s="14"/>
      <c r="G12" s="14"/>
      <c r="H12" s="14"/>
      <c r="I12" s="14" t="s">
        <v>58</v>
      </c>
      <c r="J12" s="14"/>
      <c r="K12" s="14"/>
      <c r="L12" s="14"/>
      <c r="M12" s="14"/>
      <c r="N12" s="14"/>
      <c r="O12" s="14"/>
      <c r="P12" s="14"/>
      <c r="Q12" s="1"/>
      <c r="R12" s="1"/>
      <c r="S12" s="1"/>
    </row>
    <row r="13" spans="1:19" ht="20">
      <c r="A13" s="1"/>
      <c r="B13" s="45" t="s">
        <v>45</v>
      </c>
      <c r="C13" s="21">
        <v>0.1105</v>
      </c>
      <c r="D13" s="14"/>
      <c r="E13" s="14"/>
      <c r="F13" s="14"/>
      <c r="G13" s="14"/>
      <c r="H13" s="14"/>
      <c r="I13" s="14"/>
      <c r="J13" s="14"/>
      <c r="K13" s="14"/>
      <c r="L13" s="14"/>
      <c r="M13" s="14"/>
      <c r="N13" s="14"/>
      <c r="O13" s="14"/>
      <c r="P13" s="14"/>
      <c r="Q13" s="1"/>
      <c r="R13" s="1"/>
      <c r="S13" s="1"/>
    </row>
    <row r="14" spans="1:19" ht="20">
      <c r="A14" s="1"/>
      <c r="B14" s="46" t="s">
        <v>46</v>
      </c>
      <c r="C14" s="22">
        <v>6.5</v>
      </c>
      <c r="D14" s="14" t="s">
        <v>71</v>
      </c>
      <c r="E14" s="14"/>
      <c r="F14" s="14"/>
      <c r="G14" s="14"/>
      <c r="H14" s="14"/>
      <c r="I14" s="14" t="s">
        <v>47</v>
      </c>
      <c r="J14" s="14"/>
      <c r="K14" s="14"/>
      <c r="L14" s="14"/>
      <c r="M14" s="14"/>
      <c r="N14" s="14"/>
      <c r="O14" s="14"/>
      <c r="P14" s="14"/>
      <c r="Q14" s="1"/>
      <c r="R14" s="1"/>
      <c r="S14" s="1"/>
    </row>
    <row r="15" spans="1:19" ht="20">
      <c r="A15" s="1"/>
      <c r="B15" s="46" t="s">
        <v>48</v>
      </c>
      <c r="C15" s="23">
        <v>8.75</v>
      </c>
      <c r="D15" s="14" t="s">
        <v>71</v>
      </c>
      <c r="E15" s="14"/>
      <c r="F15" s="14"/>
      <c r="G15" s="14"/>
      <c r="H15" s="14"/>
      <c r="I15" s="14"/>
      <c r="J15" s="14"/>
      <c r="K15" s="14"/>
      <c r="L15" s="14"/>
      <c r="M15" s="14"/>
      <c r="N15" s="14"/>
      <c r="O15" s="14"/>
      <c r="P15" s="14"/>
      <c r="Q15" s="1"/>
      <c r="R15" s="1"/>
      <c r="S15" s="1"/>
    </row>
    <row r="16" spans="1:19" ht="20">
      <c r="A16" s="1"/>
      <c r="B16" s="46" t="s">
        <v>49</v>
      </c>
      <c r="C16" s="22">
        <v>1.41</v>
      </c>
      <c r="D16" s="14"/>
      <c r="E16" s="14"/>
      <c r="F16" s="14"/>
      <c r="G16" s="14"/>
      <c r="H16" s="14"/>
      <c r="I16" s="14" t="s">
        <v>50</v>
      </c>
      <c r="J16" s="14"/>
      <c r="K16" s="14"/>
      <c r="L16" s="14"/>
      <c r="M16" s="14"/>
      <c r="N16" s="14"/>
      <c r="O16" s="14"/>
      <c r="P16" s="14"/>
      <c r="Q16" s="1"/>
      <c r="R16" s="1"/>
      <c r="S16" s="1"/>
    </row>
    <row r="17" spans="1:19" ht="20">
      <c r="A17" s="1"/>
      <c r="B17" s="46" t="s">
        <v>51</v>
      </c>
      <c r="C17" s="22">
        <v>0</v>
      </c>
      <c r="D17" s="14"/>
      <c r="E17" s="14"/>
      <c r="F17" s="14"/>
      <c r="G17" s="14"/>
      <c r="H17" s="14"/>
      <c r="I17" s="14"/>
      <c r="J17" s="14"/>
      <c r="K17" s="14"/>
      <c r="L17" s="14"/>
      <c r="M17" s="14"/>
      <c r="N17" s="14"/>
      <c r="O17" s="14"/>
      <c r="P17" s="14"/>
      <c r="Q17" s="1"/>
      <c r="R17" s="1"/>
      <c r="S17" s="1"/>
    </row>
    <row r="18" spans="1:19" ht="20">
      <c r="A18" s="1"/>
      <c r="B18" s="46" t="s">
        <v>52</v>
      </c>
      <c r="C18" s="22">
        <v>2.25</v>
      </c>
      <c r="D18" s="14"/>
      <c r="E18" s="14"/>
      <c r="F18" s="14"/>
      <c r="G18" s="14"/>
      <c r="H18" s="14"/>
      <c r="I18" s="14" t="s">
        <v>56</v>
      </c>
      <c r="J18" s="14"/>
      <c r="K18" s="14"/>
      <c r="L18" s="14"/>
      <c r="M18" s="14"/>
      <c r="N18" s="14" t="s">
        <v>57</v>
      </c>
      <c r="O18" s="14"/>
      <c r="P18" s="14"/>
      <c r="Q18" s="1"/>
      <c r="R18" s="1"/>
      <c r="S18" s="1"/>
    </row>
    <row r="19" spans="1:19" ht="20">
      <c r="A19" s="1"/>
      <c r="B19" s="46" t="s">
        <v>53</v>
      </c>
      <c r="C19" s="22">
        <v>9.6725000000000005E-2</v>
      </c>
      <c r="D19" s="14"/>
      <c r="E19" s="14"/>
      <c r="F19" s="14"/>
      <c r="G19" s="14"/>
      <c r="H19" s="14"/>
      <c r="I19" s="14"/>
      <c r="J19" s="14"/>
      <c r="K19" s="14"/>
      <c r="L19" s="14"/>
      <c r="M19" s="14"/>
      <c r="N19" s="14"/>
      <c r="O19" s="14"/>
      <c r="P19" s="14"/>
      <c r="Q19" s="1"/>
      <c r="R19" s="1"/>
      <c r="S19" s="1"/>
    </row>
    <row r="20" spans="1:19" ht="21" thickBot="1">
      <c r="A20" s="1"/>
      <c r="B20" s="47" t="s">
        <v>54</v>
      </c>
      <c r="C20" s="24">
        <f>C7+C6</f>
        <v>8708</v>
      </c>
      <c r="D20" s="14" t="s">
        <v>72</v>
      </c>
      <c r="E20" s="14"/>
      <c r="F20" s="14"/>
      <c r="G20" s="14"/>
      <c r="H20" s="14"/>
      <c r="I20" s="14" t="s">
        <v>55</v>
      </c>
      <c r="J20" s="14"/>
      <c r="K20" s="14"/>
      <c r="L20" s="14"/>
      <c r="M20" s="14"/>
      <c r="N20" s="14"/>
      <c r="O20" s="14"/>
      <c r="P20" s="14"/>
      <c r="Q20" s="1"/>
      <c r="R20" s="1"/>
      <c r="S20" s="1"/>
    </row>
    <row r="21" spans="1:19" ht="20">
      <c r="A21" s="1"/>
      <c r="B21" s="14"/>
      <c r="C21" s="14"/>
      <c r="D21" s="14"/>
      <c r="E21" s="14"/>
      <c r="F21" s="14"/>
      <c r="G21" s="14"/>
      <c r="H21" s="14"/>
      <c r="I21" s="14"/>
      <c r="J21" s="32">
        <v>9.6724999999999994</v>
      </c>
      <c r="K21" s="14"/>
      <c r="L21" s="14"/>
      <c r="M21" s="14"/>
      <c r="N21" s="14"/>
      <c r="O21" s="14"/>
      <c r="P21" s="14"/>
      <c r="Q21" s="1"/>
      <c r="R21" s="1"/>
      <c r="S21" s="1"/>
    </row>
    <row r="22" spans="1:19" ht="20">
      <c r="A22" s="1"/>
      <c r="B22" s="14"/>
      <c r="C22" s="15"/>
      <c r="D22" s="14"/>
      <c r="E22" s="14"/>
      <c r="F22" s="14"/>
      <c r="G22" s="14"/>
      <c r="H22" s="14"/>
      <c r="I22" s="14"/>
      <c r="J22" s="14"/>
      <c r="K22" s="14"/>
      <c r="L22" s="14"/>
      <c r="M22" s="14"/>
      <c r="N22" s="14"/>
      <c r="O22" s="14"/>
      <c r="P22" s="14"/>
      <c r="Q22" s="1"/>
      <c r="R22" s="1"/>
      <c r="S22" s="1"/>
    </row>
    <row r="23" spans="1:19" ht="20">
      <c r="A23" s="1"/>
      <c r="B23" s="14"/>
      <c r="C23" s="14"/>
      <c r="D23" s="14"/>
      <c r="E23" s="14"/>
      <c r="F23" s="14"/>
      <c r="G23" s="14"/>
      <c r="H23" s="14"/>
      <c r="I23" s="14"/>
      <c r="J23" s="14"/>
      <c r="K23" s="14"/>
      <c r="L23" s="14"/>
      <c r="M23" s="14"/>
      <c r="N23" s="14"/>
      <c r="O23" s="14"/>
      <c r="P23" s="14"/>
      <c r="Q23" s="1"/>
      <c r="R23" s="1"/>
      <c r="S23" s="1"/>
    </row>
    <row r="24" spans="1:19" ht="20">
      <c r="A24" s="1"/>
      <c r="B24" s="14"/>
      <c r="C24" s="14"/>
      <c r="D24" s="14"/>
      <c r="E24" s="14"/>
      <c r="F24" s="14"/>
      <c r="G24" s="14"/>
      <c r="H24" s="14"/>
      <c r="I24" s="48" t="s">
        <v>82</v>
      </c>
      <c r="J24" s="14"/>
      <c r="K24" s="14"/>
      <c r="L24" s="14"/>
      <c r="M24" s="14"/>
      <c r="N24" s="14"/>
      <c r="O24" s="14"/>
      <c r="P24" s="14"/>
      <c r="Q24" s="1"/>
      <c r="R24" s="1"/>
      <c r="S24" s="1"/>
    </row>
    <row r="25" spans="1:19" ht="20">
      <c r="A25" s="1"/>
      <c r="B25" s="33" t="s">
        <v>37</v>
      </c>
      <c r="C25" s="34">
        <f>C9*C13+C8*C19*(1-C17)</f>
        <v>0.10235016077170418</v>
      </c>
      <c r="D25" s="32"/>
      <c r="E25" s="14"/>
      <c r="F25" s="14"/>
      <c r="G25" s="14"/>
      <c r="H25" s="14"/>
      <c r="I25" s="14" t="s">
        <v>38</v>
      </c>
      <c r="J25" s="14"/>
      <c r="K25" s="14"/>
      <c r="L25" s="14"/>
      <c r="M25" s="14"/>
      <c r="N25" s="14"/>
      <c r="O25" s="14"/>
      <c r="P25" s="14" t="s">
        <v>39</v>
      </c>
      <c r="Q25" s="14"/>
      <c r="R25" s="1"/>
      <c r="S25" s="1"/>
    </row>
    <row r="26" spans="1:19" ht="20">
      <c r="A26" s="1"/>
      <c r="B26" s="14"/>
      <c r="C26" s="14"/>
      <c r="D26" s="14"/>
      <c r="E26" s="14"/>
      <c r="F26" s="14"/>
      <c r="G26" s="14"/>
      <c r="H26" s="14"/>
      <c r="I26" s="14" t="s">
        <v>40</v>
      </c>
      <c r="J26" s="14"/>
      <c r="K26" s="14"/>
      <c r="L26" s="14"/>
      <c r="M26" s="14"/>
      <c r="N26" s="14"/>
      <c r="O26" s="14"/>
      <c r="P26" s="14"/>
      <c r="Q26" s="14"/>
      <c r="R26" s="1"/>
      <c r="S26" s="1"/>
    </row>
    <row r="27" spans="1:19" ht="20">
      <c r="A27" s="1"/>
      <c r="B27" s="14"/>
      <c r="C27" s="14"/>
      <c r="D27" s="14"/>
      <c r="E27" s="14"/>
      <c r="F27" s="14"/>
      <c r="G27" s="14"/>
      <c r="H27" s="14"/>
      <c r="I27" s="14"/>
      <c r="J27" s="14"/>
      <c r="K27" s="14"/>
      <c r="L27" s="14"/>
      <c r="M27" s="14"/>
      <c r="N27" s="14"/>
      <c r="O27" s="14"/>
      <c r="P27" s="14"/>
      <c r="Q27" s="1"/>
      <c r="R27" s="1"/>
      <c r="S27" s="1"/>
    </row>
    <row r="28" spans="1:19" ht="20">
      <c r="A28" s="1"/>
      <c r="B28" s="14"/>
      <c r="C28" s="14"/>
      <c r="D28" s="14"/>
      <c r="E28" s="14"/>
      <c r="F28" s="14"/>
      <c r="G28" s="14"/>
      <c r="H28" s="14"/>
      <c r="I28" s="14"/>
      <c r="J28" s="14"/>
      <c r="K28" s="14"/>
      <c r="L28" s="14"/>
      <c r="M28" s="14"/>
      <c r="N28" s="14"/>
      <c r="O28" s="14"/>
      <c r="P28" s="14"/>
      <c r="Q28" s="1"/>
      <c r="R28" s="1"/>
      <c r="S28" s="1"/>
    </row>
    <row r="29" spans="1:19" ht="20">
      <c r="A29" s="1"/>
      <c r="B29" s="14"/>
      <c r="C29" s="14"/>
      <c r="D29" s="14"/>
      <c r="E29" s="14"/>
      <c r="F29" s="14"/>
      <c r="G29" s="14"/>
      <c r="H29" s="14"/>
      <c r="I29" s="14"/>
      <c r="J29" s="14"/>
      <c r="K29" s="14"/>
      <c r="L29" s="14"/>
      <c r="M29" s="14"/>
      <c r="N29" s="14"/>
      <c r="O29" s="14"/>
      <c r="P29" s="14"/>
      <c r="Q29" s="1"/>
      <c r="R29" s="1"/>
      <c r="S29" s="1"/>
    </row>
    <row r="30" spans="1:19" ht="20">
      <c r="A30" s="1"/>
      <c r="B30" s="14"/>
      <c r="C30" s="14"/>
      <c r="D30" s="14"/>
      <c r="E30" s="14"/>
      <c r="F30" s="14"/>
      <c r="G30" s="14"/>
      <c r="H30" s="14"/>
      <c r="I30" s="14"/>
      <c r="J30" s="14"/>
      <c r="K30" s="14"/>
      <c r="L30" s="14"/>
      <c r="M30" s="14"/>
      <c r="N30" s="14"/>
      <c r="O30" s="14"/>
      <c r="P30" s="14"/>
      <c r="Q30" s="1"/>
      <c r="R30" s="1"/>
      <c r="S30" s="1"/>
    </row>
    <row r="31" spans="1:19" ht="20">
      <c r="A31" s="1"/>
      <c r="B31" s="14"/>
      <c r="C31" s="14"/>
      <c r="D31" s="14"/>
      <c r="E31" s="14"/>
      <c r="F31" s="14"/>
      <c r="G31" s="14"/>
      <c r="H31" s="14"/>
      <c r="I31" s="14"/>
      <c r="J31" s="14"/>
      <c r="K31" s="14"/>
      <c r="L31" s="14"/>
      <c r="M31" s="14"/>
      <c r="N31" s="14"/>
      <c r="O31" s="14"/>
      <c r="P31" s="14"/>
      <c r="Q31" s="1"/>
      <c r="R31" s="1"/>
      <c r="S31" s="1"/>
    </row>
    <row r="32" spans="1:19">
      <c r="A32" s="1"/>
      <c r="B32" s="1"/>
      <c r="C32" s="1"/>
      <c r="D32" s="1"/>
      <c r="E32" s="1"/>
      <c r="F32" s="1"/>
      <c r="G32" s="1"/>
      <c r="H32" s="1"/>
      <c r="I32" s="1"/>
      <c r="J32" s="1"/>
      <c r="K32" s="1"/>
      <c r="L32" s="1"/>
      <c r="M32" s="1"/>
      <c r="N32" s="1"/>
      <c r="O32" s="1"/>
      <c r="P32" s="1"/>
      <c r="Q32" s="1"/>
      <c r="R32" s="1"/>
      <c r="S32" s="1"/>
    </row>
    <row r="33" spans="1:19">
      <c r="A33" s="1"/>
      <c r="B33" s="1"/>
      <c r="C33" s="1"/>
      <c r="D33" s="1"/>
      <c r="E33" s="1"/>
      <c r="F33" s="1"/>
      <c r="G33" s="1"/>
      <c r="H33" s="1"/>
      <c r="I33" s="1"/>
      <c r="J33" s="1"/>
      <c r="K33" s="1"/>
      <c r="L33" s="1"/>
      <c r="M33" s="1"/>
      <c r="N33" s="1"/>
      <c r="O33" s="1"/>
      <c r="P33" s="1"/>
      <c r="Q33" s="1"/>
      <c r="R33" s="1"/>
      <c r="S33" s="1"/>
    </row>
    <row r="34" spans="1:19">
      <c r="A34" s="1"/>
      <c r="B34" s="1"/>
      <c r="C34" s="1"/>
      <c r="D34" s="1"/>
      <c r="E34" s="1"/>
      <c r="F34" s="1"/>
      <c r="G34" s="1"/>
      <c r="H34" s="1"/>
      <c r="I34" s="1"/>
      <c r="J34" s="1"/>
      <c r="K34" s="1"/>
      <c r="L34" s="1"/>
      <c r="M34" s="1"/>
      <c r="N34" s="1"/>
      <c r="O34" s="1"/>
      <c r="P34" s="1"/>
      <c r="Q34" s="1"/>
      <c r="R34" s="1"/>
      <c r="S34" s="1"/>
    </row>
    <row r="35" spans="1:19">
      <c r="A3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FD1C-B319-9E41-A3FD-142E8D0FB752}">
  <dimension ref="A1:S33"/>
  <sheetViews>
    <sheetView zoomScale="50" workbookViewId="0">
      <selection activeCell="A5" sqref="A5"/>
    </sheetView>
  </sheetViews>
  <sheetFormatPr baseColWidth="10" defaultRowHeight="16"/>
  <cols>
    <col min="1" max="1" width="85.83203125" customWidth="1"/>
    <col min="2" max="2" width="4.1640625" customWidth="1"/>
    <col min="3" max="3" width="42.33203125" customWidth="1"/>
    <col min="4" max="4" width="18.1640625" customWidth="1"/>
    <col min="5" max="5" width="17.6640625" customWidth="1"/>
    <col min="6" max="6" width="17.5" customWidth="1"/>
    <col min="7" max="7" width="20.33203125" customWidth="1"/>
    <col min="8" max="8" width="18.33203125" customWidth="1"/>
    <col min="9" max="9" width="12.33203125" customWidth="1"/>
  </cols>
  <sheetData>
    <row r="1" spans="1:19">
      <c r="A1" s="1"/>
      <c r="B1" s="1"/>
      <c r="C1" s="1"/>
      <c r="D1" s="1"/>
      <c r="E1" s="1"/>
      <c r="F1" s="1"/>
      <c r="G1" s="1"/>
      <c r="H1" s="1"/>
      <c r="I1" s="1"/>
      <c r="J1" s="1"/>
      <c r="K1" s="1"/>
      <c r="L1" s="1"/>
      <c r="M1" s="1"/>
      <c r="N1" s="1"/>
      <c r="O1" s="1"/>
      <c r="P1" s="1"/>
      <c r="Q1" s="1"/>
      <c r="R1" s="1"/>
      <c r="S1" s="1"/>
    </row>
    <row r="2" spans="1:19">
      <c r="A2" s="1"/>
      <c r="B2" s="1"/>
      <c r="C2" s="1"/>
      <c r="D2" s="1"/>
      <c r="E2" s="1"/>
      <c r="F2" s="1"/>
      <c r="G2" s="1"/>
      <c r="H2" s="1"/>
      <c r="I2" s="1"/>
      <c r="J2" s="1"/>
      <c r="K2" s="1"/>
      <c r="L2" s="1"/>
      <c r="M2" s="1"/>
      <c r="N2" s="1"/>
      <c r="O2" s="1"/>
      <c r="P2" s="1"/>
      <c r="Q2" s="1"/>
      <c r="R2" s="1"/>
      <c r="S2" s="1"/>
    </row>
    <row r="3" spans="1:19" ht="66" customHeight="1">
      <c r="A3" s="71" t="s">
        <v>78</v>
      </c>
      <c r="B3" s="1"/>
      <c r="C3" s="14"/>
      <c r="D3" s="14"/>
      <c r="E3" s="14"/>
      <c r="F3" s="14"/>
      <c r="G3" s="14"/>
      <c r="H3" s="14"/>
      <c r="I3" s="1"/>
      <c r="J3" s="1"/>
      <c r="K3" s="1"/>
      <c r="L3" s="1"/>
      <c r="M3" s="1"/>
      <c r="N3" s="1"/>
      <c r="O3" s="1"/>
      <c r="P3" s="1"/>
      <c r="Q3" s="1"/>
      <c r="R3" s="1"/>
      <c r="S3" s="1"/>
    </row>
    <row r="4" spans="1:19" ht="39">
      <c r="A4" s="1"/>
      <c r="B4" s="1"/>
      <c r="C4" s="60"/>
      <c r="D4" s="60"/>
      <c r="E4" s="60"/>
      <c r="F4" s="60"/>
      <c r="G4" s="60"/>
      <c r="H4" s="60"/>
      <c r="I4" s="60"/>
      <c r="J4" s="1"/>
      <c r="K4" s="1"/>
      <c r="L4" s="1"/>
      <c r="M4" s="1"/>
      <c r="N4" s="1"/>
      <c r="O4" s="1"/>
      <c r="P4" s="1"/>
      <c r="Q4" s="1"/>
      <c r="R4" s="1"/>
      <c r="S4" s="1"/>
    </row>
    <row r="5" spans="1:19" ht="54" customHeight="1">
      <c r="A5" s="1"/>
      <c r="B5" s="1"/>
      <c r="C5" s="61" t="s">
        <v>77</v>
      </c>
      <c r="D5" s="62">
        <v>9.5000000000000001E-2</v>
      </c>
      <c r="E5" s="62">
        <v>0.1</v>
      </c>
      <c r="F5" s="62">
        <v>0.1024</v>
      </c>
      <c r="G5" s="62">
        <v>0.105</v>
      </c>
      <c r="H5" s="62">
        <v>0.11</v>
      </c>
      <c r="I5" s="63" t="s">
        <v>71</v>
      </c>
      <c r="J5" s="1"/>
      <c r="K5" s="1"/>
      <c r="L5" s="1"/>
      <c r="M5" s="1"/>
      <c r="N5" s="1"/>
      <c r="O5" s="1"/>
      <c r="P5" s="1"/>
      <c r="Q5" s="1"/>
      <c r="R5" s="1"/>
      <c r="S5" s="1"/>
    </row>
    <row r="6" spans="1:19" ht="39" customHeight="1">
      <c r="A6" s="1"/>
      <c r="B6" s="1"/>
      <c r="C6" s="64">
        <v>0.04</v>
      </c>
      <c r="D6" s="65">
        <v>44.63</v>
      </c>
      <c r="E6" s="66">
        <v>41.06</v>
      </c>
      <c r="F6" s="67">
        <v>39.42</v>
      </c>
      <c r="G6" s="68">
        <v>37.86</v>
      </c>
      <c r="H6" s="68">
        <v>35.020000000000003</v>
      </c>
      <c r="I6" s="63"/>
      <c r="J6" s="1"/>
      <c r="K6" s="1"/>
      <c r="L6" s="1"/>
      <c r="M6" s="1"/>
      <c r="N6" s="1"/>
      <c r="O6" s="1"/>
      <c r="P6" s="1"/>
      <c r="Q6" s="1"/>
      <c r="R6" s="1"/>
      <c r="S6" s="1"/>
    </row>
    <row r="7" spans="1:19" ht="39" customHeight="1">
      <c r="A7" s="1"/>
      <c r="B7" s="1"/>
      <c r="C7" s="64">
        <v>4.4999999999999998E-2</v>
      </c>
      <c r="D7" s="65">
        <v>46.34</v>
      </c>
      <c r="E7" s="65">
        <v>42.55</v>
      </c>
      <c r="F7" s="67">
        <v>39.92</v>
      </c>
      <c r="G7" s="67">
        <v>39.21</v>
      </c>
      <c r="H7" s="68">
        <v>36.229999999999997</v>
      </c>
      <c r="I7" s="63"/>
      <c r="J7" s="1"/>
      <c r="K7" s="1"/>
      <c r="L7" s="1"/>
      <c r="M7" s="1"/>
      <c r="N7" s="1"/>
      <c r="O7" s="1"/>
      <c r="P7" s="1"/>
      <c r="Q7" s="1"/>
      <c r="R7" s="1"/>
      <c r="S7" s="1"/>
    </row>
    <row r="8" spans="1:19" ht="41" customHeight="1">
      <c r="A8" s="1"/>
      <c r="B8" s="1"/>
      <c r="C8" s="64">
        <v>0.05</v>
      </c>
      <c r="D8" s="69">
        <v>48.27</v>
      </c>
      <c r="E8" s="65">
        <v>44.28</v>
      </c>
      <c r="F8" s="66">
        <v>43.38</v>
      </c>
      <c r="G8" s="67">
        <v>40.78</v>
      </c>
      <c r="H8" s="67">
        <v>37.68</v>
      </c>
      <c r="I8" s="63"/>
      <c r="J8" s="1"/>
      <c r="K8" s="1"/>
      <c r="L8" s="1"/>
      <c r="M8" s="1"/>
      <c r="N8" s="1"/>
      <c r="O8" s="1"/>
      <c r="P8" s="1"/>
      <c r="Q8" s="1"/>
      <c r="R8" s="1"/>
      <c r="S8" s="1"/>
    </row>
    <row r="9" spans="1:19" ht="44" customHeight="1">
      <c r="A9" s="1"/>
      <c r="B9" s="1"/>
      <c r="C9" s="64">
        <v>5.5E-2</v>
      </c>
      <c r="D9" s="69">
        <v>50.51</v>
      </c>
      <c r="E9" s="65">
        <v>46.27</v>
      </c>
      <c r="F9" s="66">
        <v>45.38</v>
      </c>
      <c r="G9" s="66">
        <v>42.61</v>
      </c>
      <c r="H9" s="67">
        <v>39.39</v>
      </c>
      <c r="I9" s="63"/>
      <c r="J9" s="1"/>
      <c r="K9" s="1"/>
      <c r="L9" s="1"/>
      <c r="M9" s="1"/>
      <c r="N9" s="1"/>
      <c r="O9" s="1"/>
      <c r="P9" s="1"/>
      <c r="Q9" s="1"/>
      <c r="R9" s="1"/>
      <c r="S9" s="1"/>
    </row>
    <row r="10" spans="1:19" ht="44" customHeight="1">
      <c r="A10" s="1"/>
      <c r="B10" s="1"/>
      <c r="C10" s="64">
        <v>0.06</v>
      </c>
      <c r="D10" s="69">
        <v>53.04</v>
      </c>
      <c r="E10" s="69">
        <v>48.59</v>
      </c>
      <c r="F10" s="65">
        <v>47.66</v>
      </c>
      <c r="G10" s="66">
        <v>44.78</v>
      </c>
      <c r="H10" s="67">
        <v>41.42</v>
      </c>
      <c r="I10" s="63"/>
      <c r="J10" s="1"/>
      <c r="K10" s="1"/>
      <c r="L10" s="1"/>
      <c r="M10" s="1"/>
      <c r="N10" s="1"/>
      <c r="O10" s="1"/>
      <c r="P10" s="1"/>
      <c r="Q10" s="1"/>
      <c r="R10" s="1"/>
      <c r="S10" s="1"/>
    </row>
    <row r="11" spans="1:19" ht="39">
      <c r="A11" s="1"/>
      <c r="B11" s="1"/>
      <c r="C11" s="70" t="s">
        <v>71</v>
      </c>
      <c r="D11" s="63"/>
      <c r="E11" s="63"/>
      <c r="F11" s="63"/>
      <c r="G11" s="63"/>
      <c r="H11" s="63"/>
      <c r="I11" s="63"/>
      <c r="J11" s="1"/>
      <c r="K11" s="1"/>
      <c r="L11" s="1"/>
      <c r="M11" s="1"/>
      <c r="N11" s="1"/>
      <c r="O11" s="1"/>
      <c r="P11" s="1"/>
      <c r="Q11" s="1"/>
      <c r="R11" s="1"/>
      <c r="S11" s="1"/>
    </row>
    <row r="12" spans="1:19" ht="39">
      <c r="A12" s="1"/>
      <c r="B12" s="1"/>
      <c r="C12" s="63"/>
      <c r="D12" s="63"/>
      <c r="E12" s="63"/>
      <c r="F12" s="63"/>
      <c r="G12" s="63"/>
      <c r="H12" s="63"/>
      <c r="I12" s="63"/>
      <c r="J12" s="1"/>
      <c r="K12" s="1"/>
      <c r="L12" s="1"/>
      <c r="M12" s="1"/>
      <c r="N12" s="1"/>
      <c r="O12" s="1"/>
      <c r="P12" s="1"/>
      <c r="Q12" s="1"/>
      <c r="R12" s="1"/>
      <c r="S12" s="1"/>
    </row>
    <row r="13" spans="1:19" ht="20">
      <c r="A13" s="1"/>
      <c r="B13" s="1"/>
      <c r="C13" s="14"/>
      <c r="D13" s="14"/>
      <c r="E13" s="14"/>
      <c r="F13" s="14"/>
      <c r="G13" s="14"/>
      <c r="H13" s="14"/>
      <c r="I13" s="1"/>
      <c r="J13" s="1"/>
      <c r="K13" s="1"/>
      <c r="L13" s="1"/>
      <c r="M13" s="1"/>
      <c r="N13" s="1"/>
      <c r="O13" s="1"/>
      <c r="P13" s="1"/>
      <c r="Q13" s="1"/>
      <c r="R13" s="1"/>
      <c r="S13" s="1"/>
    </row>
    <row r="14" spans="1:19">
      <c r="A14" s="1"/>
      <c r="B14" s="1"/>
      <c r="C14" s="1"/>
      <c r="D14" s="1"/>
      <c r="E14" s="1"/>
      <c r="F14" s="1"/>
      <c r="G14" s="1"/>
      <c r="H14" s="1"/>
      <c r="I14" s="1"/>
      <c r="J14" s="1"/>
      <c r="K14" s="1"/>
      <c r="L14" s="1"/>
      <c r="M14" s="1"/>
      <c r="N14" s="1"/>
      <c r="O14" s="1"/>
      <c r="P14" s="1"/>
      <c r="Q14" s="1"/>
      <c r="R14" s="1"/>
      <c r="S14" s="1"/>
    </row>
    <row r="15" spans="1:19">
      <c r="A15" s="1"/>
      <c r="B15" s="1"/>
      <c r="C15" s="1"/>
      <c r="D15" s="1"/>
      <c r="E15" s="1"/>
      <c r="F15" s="1"/>
      <c r="G15" s="1"/>
      <c r="H15" s="1"/>
      <c r="I15" s="1"/>
      <c r="J15" s="1"/>
      <c r="K15" s="1"/>
      <c r="L15" s="1"/>
      <c r="M15" s="1"/>
      <c r="N15" s="1"/>
      <c r="O15" s="1"/>
      <c r="P15" s="1"/>
      <c r="Q15" s="1"/>
      <c r="R15" s="1"/>
      <c r="S15" s="1"/>
    </row>
    <row r="16" spans="1:19">
      <c r="A16" s="1"/>
      <c r="B16" s="1"/>
      <c r="C16" s="1"/>
      <c r="D16" s="1"/>
      <c r="E16" s="1"/>
      <c r="F16" s="1"/>
      <c r="G16" s="1"/>
      <c r="H16" s="1"/>
      <c r="I16" s="1"/>
      <c r="J16" s="1"/>
      <c r="K16" s="1"/>
      <c r="L16" s="1"/>
      <c r="M16" s="1"/>
      <c r="N16" s="1"/>
      <c r="O16" s="1"/>
      <c r="P16" s="1"/>
      <c r="Q16" s="1"/>
      <c r="R16" s="1"/>
      <c r="S16" s="1"/>
    </row>
    <row r="17" spans="1:19">
      <c r="A17" s="1"/>
      <c r="B17" s="1"/>
      <c r="C17" s="1"/>
      <c r="D17" s="1"/>
      <c r="E17" s="1"/>
      <c r="F17" s="1"/>
      <c r="G17" s="1"/>
      <c r="H17" s="1"/>
      <c r="I17" s="1"/>
      <c r="J17" s="1"/>
      <c r="K17" s="1"/>
      <c r="L17" s="1"/>
      <c r="M17" s="1"/>
      <c r="N17" s="1"/>
      <c r="O17" s="1"/>
      <c r="P17" s="1"/>
      <c r="Q17" s="1"/>
      <c r="R17" s="1"/>
      <c r="S17" s="1"/>
    </row>
    <row r="18" spans="1:19">
      <c r="A18" s="1"/>
      <c r="B18" s="1"/>
      <c r="C18" s="1"/>
      <c r="D18" s="1"/>
      <c r="E18" s="1"/>
      <c r="F18" s="1"/>
      <c r="G18" s="1"/>
      <c r="H18" s="1"/>
      <c r="I18" s="1"/>
      <c r="J18" s="1"/>
      <c r="K18" s="1"/>
      <c r="L18" s="1"/>
      <c r="M18" s="1"/>
      <c r="N18" s="1"/>
      <c r="O18" s="1"/>
      <c r="P18" s="1"/>
      <c r="Q18" s="1"/>
      <c r="R18" s="1"/>
      <c r="S18" s="1"/>
    </row>
    <row r="19" spans="1:19">
      <c r="A19" s="1"/>
      <c r="B19" s="1"/>
      <c r="C19" s="1"/>
      <c r="D19" s="1"/>
      <c r="E19" s="1"/>
      <c r="F19" s="1"/>
      <c r="G19" s="1"/>
      <c r="H19" s="1"/>
      <c r="I19" s="1"/>
      <c r="J19" s="1"/>
      <c r="K19" s="1"/>
      <c r="L19" s="1"/>
      <c r="M19" s="1"/>
      <c r="N19" s="1"/>
      <c r="O19" s="1"/>
      <c r="P19" s="1"/>
      <c r="Q19" s="1"/>
      <c r="R19" s="1"/>
      <c r="S19" s="1"/>
    </row>
    <row r="20" spans="1:19">
      <c r="A20" s="1"/>
      <c r="B20" s="1"/>
      <c r="C20" s="1"/>
      <c r="D20" s="1"/>
      <c r="E20" s="1"/>
      <c r="F20" s="1"/>
      <c r="G20" s="1"/>
      <c r="H20" s="1"/>
      <c r="I20" s="1"/>
      <c r="J20" s="1"/>
      <c r="K20" s="1"/>
      <c r="L20" s="1"/>
      <c r="M20" s="1"/>
      <c r="N20" s="1"/>
      <c r="O20" s="1"/>
      <c r="P20" s="1"/>
      <c r="Q20" s="1"/>
      <c r="R20" s="1"/>
      <c r="S20" s="1"/>
    </row>
    <row r="21" spans="1:19">
      <c r="A21" s="1"/>
      <c r="B21" s="1"/>
      <c r="C21" s="1"/>
      <c r="D21" s="1"/>
      <c r="E21" s="1"/>
      <c r="F21" s="1"/>
      <c r="G21" s="1"/>
      <c r="H21" s="1"/>
      <c r="I21" s="1"/>
      <c r="J21" s="1"/>
      <c r="K21" s="1"/>
      <c r="L21" s="1"/>
      <c r="M21" s="1"/>
      <c r="N21" s="1"/>
      <c r="O21" s="1"/>
      <c r="P21" s="1"/>
      <c r="Q21" s="1"/>
      <c r="R21" s="1"/>
      <c r="S21" s="1"/>
    </row>
    <row r="22" spans="1:19">
      <c r="A22" s="1"/>
      <c r="B22" s="1"/>
      <c r="C22" s="1"/>
      <c r="D22" s="1"/>
      <c r="E22" s="1"/>
      <c r="F22" s="1"/>
      <c r="G22" s="1"/>
      <c r="H22" s="1"/>
      <c r="I22" s="1"/>
      <c r="J22" s="1"/>
      <c r="K22" s="1"/>
      <c r="L22" s="1"/>
      <c r="M22" s="1"/>
      <c r="N22" s="1"/>
      <c r="O22" s="1"/>
      <c r="P22" s="1"/>
      <c r="Q22" s="1"/>
      <c r="R22" s="1"/>
      <c r="S22" s="1"/>
    </row>
    <row r="23" spans="1:19">
      <c r="A23" s="1"/>
      <c r="B23" s="1"/>
      <c r="C23" s="1"/>
      <c r="D23" s="1"/>
      <c r="E23" s="1"/>
      <c r="F23" s="1"/>
      <c r="G23" s="1"/>
      <c r="H23" s="1"/>
      <c r="I23" s="1"/>
      <c r="J23" s="1"/>
      <c r="K23" s="1"/>
      <c r="L23" s="1"/>
      <c r="M23" s="1"/>
      <c r="N23" s="1"/>
      <c r="O23" s="1"/>
      <c r="P23" s="1"/>
      <c r="Q23" s="1"/>
      <c r="R23" s="1"/>
      <c r="S23" s="1"/>
    </row>
    <row r="24" spans="1:19">
      <c r="A24" s="1"/>
      <c r="B24" s="1"/>
      <c r="C24" s="1"/>
      <c r="D24" s="1"/>
      <c r="E24" s="1"/>
      <c r="F24" s="1"/>
      <c r="G24" s="1"/>
      <c r="H24" s="1"/>
      <c r="I24" s="1"/>
      <c r="J24" s="1"/>
      <c r="K24" s="1"/>
      <c r="L24" s="1"/>
      <c r="M24" s="1"/>
      <c r="N24" s="1"/>
      <c r="O24" s="1"/>
      <c r="P24" s="1"/>
      <c r="Q24" s="1"/>
      <c r="R24" s="1"/>
      <c r="S24" s="1"/>
    </row>
    <row r="25" spans="1:19">
      <c r="A25" s="1"/>
      <c r="B25" s="1"/>
      <c r="C25" s="1"/>
      <c r="D25" s="1"/>
      <c r="E25" s="1"/>
      <c r="F25" s="1"/>
      <c r="G25" s="1"/>
      <c r="H25" s="1"/>
      <c r="I25" s="1"/>
      <c r="J25" s="1"/>
      <c r="K25" s="1"/>
      <c r="L25" s="1"/>
      <c r="M25" s="1"/>
      <c r="N25" s="1"/>
      <c r="O25" s="1"/>
      <c r="P25" s="1"/>
      <c r="Q25" s="1"/>
      <c r="R25" s="1"/>
      <c r="S25" s="1"/>
    </row>
    <row r="26" spans="1:19">
      <c r="A26" s="1"/>
      <c r="B26" s="1"/>
      <c r="C26" s="1"/>
      <c r="D26" s="1"/>
      <c r="E26" s="1"/>
      <c r="F26" s="1"/>
      <c r="G26" s="1"/>
      <c r="H26" s="1"/>
      <c r="I26" s="1"/>
      <c r="J26" s="1"/>
      <c r="K26" s="1"/>
      <c r="L26" s="1"/>
      <c r="M26" s="1"/>
      <c r="N26" s="1"/>
      <c r="O26" s="1"/>
      <c r="P26" s="1"/>
      <c r="Q26" s="1"/>
      <c r="R26" s="1"/>
      <c r="S26" s="1"/>
    </row>
    <row r="27" spans="1:19">
      <c r="A27" s="1"/>
      <c r="B27" s="1"/>
      <c r="C27" s="1"/>
      <c r="D27" s="1"/>
      <c r="E27" s="1"/>
      <c r="F27" s="1"/>
      <c r="G27" s="1"/>
      <c r="H27" s="1"/>
      <c r="I27" s="1"/>
      <c r="J27" s="1"/>
      <c r="K27" s="1"/>
      <c r="L27" s="1"/>
      <c r="M27" s="1"/>
      <c r="N27" s="1"/>
      <c r="O27" s="1"/>
      <c r="P27" s="1"/>
      <c r="Q27" s="1"/>
      <c r="R27" s="1"/>
      <c r="S27" s="1"/>
    </row>
    <row r="28" spans="1:19">
      <c r="A28" s="1"/>
      <c r="B28" s="1"/>
      <c r="C28" s="1"/>
      <c r="D28" s="1"/>
      <c r="E28" s="1"/>
      <c r="F28" s="1"/>
      <c r="G28" s="1"/>
      <c r="H28" s="1"/>
      <c r="I28" s="1"/>
      <c r="J28" s="1"/>
      <c r="K28" s="1"/>
      <c r="L28" s="1"/>
      <c r="M28" s="1"/>
      <c r="N28" s="1"/>
      <c r="O28" s="1"/>
      <c r="P28" s="1"/>
      <c r="Q28" s="1"/>
      <c r="R28" s="1"/>
      <c r="S28" s="1"/>
    </row>
    <row r="29" spans="1:19">
      <c r="A29" s="1"/>
      <c r="B29" s="1"/>
      <c r="C29" s="1"/>
      <c r="D29" s="1"/>
      <c r="E29" s="1"/>
      <c r="F29" s="1"/>
      <c r="G29" s="1"/>
      <c r="H29" s="1"/>
      <c r="I29" s="1"/>
      <c r="J29" s="1"/>
      <c r="K29" s="1"/>
      <c r="L29" s="1"/>
      <c r="M29" s="1"/>
      <c r="N29" s="1"/>
      <c r="O29" s="1"/>
      <c r="P29" s="1"/>
      <c r="Q29" s="1"/>
      <c r="R29" s="1"/>
      <c r="S29" s="1"/>
    </row>
    <row r="30" spans="1:19">
      <c r="A30" s="1"/>
      <c r="B30" s="1"/>
      <c r="C30" s="1"/>
      <c r="D30" s="1"/>
      <c r="E30" s="1"/>
      <c r="F30" s="1"/>
      <c r="G30" s="1"/>
      <c r="H30" s="1"/>
      <c r="I30" s="1"/>
      <c r="J30" s="1"/>
      <c r="K30" s="1"/>
      <c r="L30" s="1"/>
      <c r="M30" s="1"/>
      <c r="N30" s="1"/>
      <c r="O30" s="1"/>
      <c r="P30" s="1"/>
      <c r="Q30" s="1"/>
      <c r="R30" s="1"/>
      <c r="S30" s="1"/>
    </row>
    <row r="31" spans="1:19">
      <c r="A31" s="1"/>
      <c r="B31" s="1"/>
      <c r="C31" s="1"/>
      <c r="D31" s="1"/>
      <c r="E31" s="1"/>
      <c r="F31" s="1"/>
      <c r="G31" s="1"/>
      <c r="H31" s="1"/>
      <c r="I31" s="1"/>
      <c r="J31" s="1"/>
      <c r="K31" s="1"/>
      <c r="L31" s="1"/>
      <c r="M31" s="1"/>
      <c r="N31" s="1"/>
      <c r="O31" s="1"/>
      <c r="P31" s="1"/>
      <c r="Q31" s="1"/>
      <c r="R31" s="1"/>
      <c r="S31" s="1"/>
    </row>
    <row r="32" spans="1:19">
      <c r="A32" s="1"/>
      <c r="B32" s="1"/>
      <c r="C32" s="1"/>
      <c r="D32" s="1"/>
      <c r="E32" s="1"/>
      <c r="F32" s="1"/>
      <c r="G32" s="1"/>
      <c r="H32" s="1"/>
      <c r="I32" s="1"/>
      <c r="J32" s="1"/>
      <c r="K32" s="1"/>
      <c r="L32" s="1"/>
      <c r="M32" s="1"/>
      <c r="N32" s="1"/>
      <c r="O32" s="1"/>
      <c r="P32" s="1"/>
      <c r="Q32" s="1"/>
      <c r="R32" s="1"/>
      <c r="S32" s="1"/>
    </row>
    <row r="33" spans="1:19">
      <c r="A33" s="1"/>
      <c r="B33" s="1"/>
      <c r="C33" s="1"/>
      <c r="D33" s="1"/>
      <c r="E33" s="1"/>
      <c r="F33" s="1"/>
      <c r="G33" s="1"/>
      <c r="H33" s="1"/>
      <c r="I33" s="1"/>
      <c r="J33" s="1"/>
      <c r="K33" s="1"/>
      <c r="L33" s="1"/>
      <c r="M33" s="1"/>
      <c r="N33" s="1"/>
      <c r="O33" s="1"/>
      <c r="P33" s="1"/>
      <c r="Q33" s="1"/>
      <c r="R33" s="1"/>
      <c r="S33"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dcf</vt:lpstr>
      <vt:lpstr>WACC</vt:lpstr>
      <vt:lpstr>Sensitivity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NANDU HAPI</dc:creator>
  <cp:lastModifiedBy>NANDU HAPI</cp:lastModifiedBy>
  <dcterms:created xsi:type="dcterms:W3CDTF">2025-07-17T09:48:33Z</dcterms:created>
  <dcterms:modified xsi:type="dcterms:W3CDTF">2025-08-15T07:33:38Z</dcterms:modified>
</cp:coreProperties>
</file>